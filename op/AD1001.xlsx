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JP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9.jpg" ContentType="image/jpeg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rvidor\docs\02_PCP\ORDEM_DE_PRODUÇAO\ORDEM DE PRODUÇÃO BRUCKE\AD\"/>
    </mc:Choice>
  </mc:AlternateContent>
  <bookViews>
    <workbookView xWindow="-120" yWindow="-120" windowWidth="21840" windowHeight="13140"/>
  </bookViews>
  <sheets>
    <sheet name="OP" sheetId="166" r:id="rId1"/>
  </sheets>
  <externalReferences>
    <externalReference r:id="rId2"/>
  </externalReferences>
  <definedNames>
    <definedName name="_xlnm._FilterDatabase" localSheetId="0" hidden="1">OP!$C$73:$D$73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" i="166" l="1"/>
  <c r="F5" i="166" l="1"/>
  <c r="F47" i="166" l="1"/>
  <c r="F171" i="166"/>
  <c r="F134" i="166"/>
  <c r="G45" i="166" l="1"/>
  <c r="K86" i="166"/>
  <c r="F91" i="166" s="1"/>
  <c r="J85" i="166"/>
  <c r="K45" i="166"/>
  <c r="K44" i="166"/>
  <c r="G86" i="166"/>
  <c r="F52" i="166" l="1"/>
  <c r="F55" i="166"/>
  <c r="J168" i="166"/>
  <c r="K169" i="166"/>
  <c r="G169" i="166"/>
  <c r="G132" i="166" l="1"/>
  <c r="J131" i="166"/>
  <c r="F174" i="166" l="1"/>
  <c r="B170" i="166" l="1"/>
  <c r="C171" i="166" s="1"/>
  <c r="F15" i="166"/>
  <c r="F13" i="166"/>
  <c r="F11" i="166"/>
  <c r="K132" i="166"/>
  <c r="F137" i="166" s="1"/>
  <c r="F9" i="166" l="1"/>
  <c r="F19" i="166" l="1"/>
  <c r="F18" i="166"/>
  <c r="B4" i="166" l="1"/>
  <c r="C5" i="166" s="1"/>
  <c r="F88" i="166" l="1"/>
  <c r="B133" i="166" l="1"/>
  <c r="C134" i="166" s="1"/>
  <c r="B87" i="166"/>
  <c r="C88" i="166" s="1"/>
  <c r="B46" i="166"/>
  <c r="C47" i="166" s="1"/>
</calcChain>
</file>

<file path=xl/sharedStrings.xml><?xml version="1.0" encoding="utf-8"?>
<sst xmlns="http://schemas.openxmlformats.org/spreadsheetml/2006/main" count="268" uniqueCount="105">
  <si>
    <t>ORDEM DE PRODUÇÃO</t>
  </si>
  <si>
    <t>DATA DE FINALIZAÇÃO</t>
  </si>
  <si>
    <t>PREVISÃO DE ENTREGA</t>
  </si>
  <si>
    <t>DATA DE INICIO</t>
  </si>
  <si>
    <t>CÓDIGO</t>
  </si>
  <si>
    <t>DESCRIÇÃO</t>
  </si>
  <si>
    <t>QUANTIDADE</t>
  </si>
  <si>
    <t>ROTEIRO DE PRODUÇÃO</t>
  </si>
  <si>
    <t>ITEM</t>
  </si>
  <si>
    <t>CORTE PLASMA</t>
  </si>
  <si>
    <t>QTD</t>
  </si>
  <si>
    <t>SUPORTE TOMADA</t>
  </si>
  <si>
    <t>SUPORTE CORRENTE</t>
  </si>
  <si>
    <t>DOBRA</t>
  </si>
  <si>
    <t xml:space="preserve">CORTE </t>
  </si>
  <si>
    <t>PEÇAS PADRONIZADAS</t>
  </si>
  <si>
    <t>Nº ORDEM DE PRODUÇÃO</t>
  </si>
  <si>
    <t>TUBO</t>
  </si>
  <si>
    <t>PLASMA</t>
  </si>
  <si>
    <t>CABEÇA</t>
  </si>
  <si>
    <t xml:space="preserve">QTD TOTAL </t>
  </si>
  <si>
    <t>Data de Liberação</t>
  </si>
  <si>
    <t>PROCESSO/APONTAMENTO</t>
  </si>
  <si>
    <t>OBSERVAÇÕES</t>
  </si>
  <si>
    <t>ROTEIRO DE PRODUÇÃO PLASMA / COMPONENTE</t>
  </si>
  <si>
    <t>DESENHO TÉCNICO</t>
  </si>
  <si>
    <t>ROTEIRO DE PRODUÇÃO TUBO</t>
  </si>
  <si>
    <t>CPMT</t>
  </si>
  <si>
    <t xml:space="preserve">ESP </t>
  </si>
  <si>
    <t>Quant.</t>
  </si>
  <si>
    <t xml:space="preserve">FICHA </t>
  </si>
  <si>
    <t>PAREDE</t>
  </si>
  <si>
    <t>LARGURA</t>
  </si>
  <si>
    <t xml:space="preserve">HORARIO: </t>
  </si>
  <si>
    <t>HORA</t>
  </si>
  <si>
    <t>HORARIO</t>
  </si>
  <si>
    <t>CABEÇA ENGATE</t>
  </si>
  <si>
    <t>MEDIDA (CM)</t>
  </si>
  <si>
    <t>ÂNGULO (GRAU)</t>
  </si>
  <si>
    <t>QUANT</t>
  </si>
  <si>
    <t>MÁQ</t>
  </si>
  <si>
    <t>Curva 1</t>
  </si>
  <si>
    <t>Curva 2</t>
  </si>
  <si>
    <t>Curva 3</t>
  </si>
  <si>
    <t>Curva 4</t>
  </si>
  <si>
    <t>DESENHO TÉCNICO CONJUNTO COMPLETO</t>
  </si>
  <si>
    <t>TUBO SUPORTE PRINCIPAL</t>
  </si>
  <si>
    <t>HORARIO:</t>
  </si>
  <si>
    <t>CV1</t>
  </si>
  <si>
    <t>CORTE</t>
  </si>
  <si>
    <t>REFORÇO</t>
  </si>
  <si>
    <t>REFORÇO DE CABEÇA ENGATE</t>
  </si>
  <si>
    <t xml:space="preserve">TUBO </t>
  </si>
  <si>
    <t>40X40</t>
  </si>
  <si>
    <t>AD1001</t>
  </si>
  <si>
    <t>CORTE EM GRAU</t>
  </si>
  <si>
    <t>60x60</t>
  </si>
  <si>
    <t>CABEÇA REMOVIVEL</t>
  </si>
  <si>
    <t>ROTEIRO DE PRODUÇÃO REFORÇO CABEÇA</t>
  </si>
  <si>
    <t>ROTEIRO DA MONTAGEM</t>
  </si>
  <si>
    <t>CABEÇA REMOVÍVEL (M)</t>
  </si>
  <si>
    <t xml:space="preserve">ACESSÓRIO UNIVERSAL </t>
  </si>
  <si>
    <t>ARRUELA LISA M10</t>
  </si>
  <si>
    <t>PORCA PARLOCK M10x1,50</t>
  </si>
  <si>
    <t>ARAME GUIA</t>
  </si>
  <si>
    <t>PONTERIA MÉDIA</t>
  </si>
  <si>
    <t>PL1</t>
  </si>
  <si>
    <t>TM</t>
  </si>
  <si>
    <t>SC</t>
  </si>
  <si>
    <t xml:space="preserve">CHECK </t>
  </si>
  <si>
    <t xml:space="preserve">CORTE EM GRAU </t>
  </si>
  <si>
    <t>ABAST</t>
  </si>
  <si>
    <t>PRATELEIRA</t>
  </si>
  <si>
    <t xml:space="preserve">LD ESP 6,35MM - DOBRA </t>
  </si>
  <si>
    <t>LE ESP 6,35MM - DOBRA</t>
  </si>
  <si>
    <t>PL2</t>
  </si>
  <si>
    <t>PERSPECTIVA TB1</t>
  </si>
  <si>
    <t>ROTEIRO DE PRODUÇÃO PLASMA CABEÇA</t>
  </si>
  <si>
    <t xml:space="preserve">Corte </t>
  </si>
  <si>
    <t>Solda Anel</t>
  </si>
  <si>
    <t>SOLDA ANEL</t>
  </si>
  <si>
    <t>ITEM RETO</t>
  </si>
  <si>
    <t>CORTE PLASMA LADO DIREITO</t>
  </si>
  <si>
    <t>CORTE PLASMA LADO ESQUERDO</t>
  </si>
  <si>
    <t>PLASMA LD</t>
  </si>
  <si>
    <t>PLASMA LE</t>
  </si>
  <si>
    <t>TUBO 1010x40x3</t>
  </si>
  <si>
    <t xml:space="preserve"> </t>
  </si>
  <si>
    <t>PONTEIRA REM. 240mm</t>
  </si>
  <si>
    <t xml:space="preserve">REFORÇO 100x75 </t>
  </si>
  <si>
    <t>ABASTECIMENTO</t>
  </si>
  <si>
    <t>APONTAMENTO</t>
  </si>
  <si>
    <t>PEÇAS APROVADAS</t>
  </si>
  <si>
    <t>REPROVADAS</t>
  </si>
  <si>
    <t>SETOR</t>
  </si>
  <si>
    <t>OPERADOR</t>
  </si>
  <si>
    <t>PL 1</t>
  </si>
  <si>
    <t>PL 2</t>
  </si>
  <si>
    <t>TB</t>
  </si>
  <si>
    <t>CB</t>
  </si>
  <si>
    <t>RCB</t>
  </si>
  <si>
    <t>QTD TOTAL</t>
  </si>
  <si>
    <t>CHECKLIST RECEBIMENTO</t>
  </si>
  <si>
    <t>CHECKLIST ABASTECIMENTO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</si>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</sst>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sz val="6.5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4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3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1" fillId="3" borderId="8" xfId="0" applyFont="1" applyFill="1" applyBorder="1" applyAlignment="1">
      <alignment horizontal="center" vertical="top" wrapText="1"/>
    </xf>
    <xf numFmtId="14" fontId="2" fillId="3" borderId="9" xfId="0" applyNumberFormat="1" applyFont="1" applyFill="1" applyBorder="1" applyAlignment="1">
      <alignment horizontal="center"/>
    </xf>
    <xf numFmtId="0" fontId="1" fillId="3" borderId="8" xfId="0" applyFont="1" applyFill="1" applyBorder="1" applyAlignment="1">
      <alignment vertical="top"/>
    </xf>
    <xf numFmtId="0" fontId="2" fillId="3" borderId="8" xfId="0" applyFont="1" applyFill="1" applyBorder="1" applyAlignment="1">
      <alignment horizontal="left" vertical="top"/>
    </xf>
    <xf numFmtId="0" fontId="0" fillId="3" borderId="0" xfId="0" applyFill="1"/>
    <xf numFmtId="0" fontId="0" fillId="3" borderId="2" xfId="0" applyFill="1" applyBorder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2" fillId="3" borderId="3" xfId="0" applyFont="1" applyFill="1" applyBorder="1" applyAlignment="1">
      <alignment vertical="top"/>
    </xf>
    <xf numFmtId="0" fontId="1" fillId="2" borderId="1" xfId="0" applyFont="1" applyFill="1" applyBorder="1"/>
    <xf numFmtId="0" fontId="0" fillId="3" borderId="1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14" fontId="8" fillId="3" borderId="10" xfId="0" applyNumberFormat="1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3" borderId="9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top"/>
    </xf>
    <xf numFmtId="0" fontId="1" fillId="3" borderId="0" xfId="0" applyFont="1" applyFill="1" applyAlignment="1">
      <alignment vertical="top"/>
    </xf>
    <xf numFmtId="0" fontId="1" fillId="3" borderId="10" xfId="0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3" fillId="2" borderId="0" xfId="0" applyFont="1" applyFill="1" applyAlignment="1">
      <alignment vertic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10" fillId="0" borderId="0" xfId="0" applyFont="1"/>
    <xf numFmtId="0" fontId="18" fillId="2" borderId="0" xfId="0" applyFont="1" applyFill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/>
    </xf>
    <xf numFmtId="0" fontId="16" fillId="0" borderId="0" xfId="0" applyFont="1" applyAlignment="1">
      <alignment horizontal="center" vertical="center" textRotation="90"/>
    </xf>
    <xf numFmtId="0" fontId="3" fillId="2" borderId="0" xfId="0" applyFont="1" applyFill="1"/>
    <xf numFmtId="0" fontId="16" fillId="0" borderId="1" xfId="0" applyFont="1" applyBorder="1" applyAlignment="1">
      <alignment horizontal="center" vertical="center" textRotation="90"/>
    </xf>
    <xf numFmtId="0" fontId="8" fillId="0" borderId="1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14" fontId="2" fillId="3" borderId="10" xfId="0" applyNumberFormat="1" applyFont="1" applyFill="1" applyBorder="1" applyAlignment="1">
      <alignment vertical="center"/>
    </xf>
    <xf numFmtId="0" fontId="0" fillId="0" borderId="1" xfId="0" applyBorder="1"/>
    <xf numFmtId="0" fontId="20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center"/>
    </xf>
    <xf numFmtId="0" fontId="26" fillId="0" borderId="0" xfId="0" applyFont="1"/>
    <xf numFmtId="0" fontId="4" fillId="2" borderId="0" xfId="0" applyFont="1" applyFill="1" applyAlignment="1">
      <alignment vertical="center"/>
    </xf>
    <xf numFmtId="0" fontId="0" fillId="0" borderId="0" xfId="0" applyAlignment="1">
      <alignment horizontal="centerContinuous"/>
    </xf>
    <xf numFmtId="0" fontId="29" fillId="0" borderId="0" xfId="0" applyFont="1"/>
    <xf numFmtId="0" fontId="8" fillId="0" borderId="15" xfId="0" applyFont="1" applyBorder="1" applyAlignment="1">
      <alignment horizontal="left" vertical="center"/>
    </xf>
    <xf numFmtId="0" fontId="1" fillId="0" borderId="1" xfId="0" applyFont="1" applyBorder="1" applyAlignment="1">
      <alignment vertical="center" textRotation="90"/>
    </xf>
    <xf numFmtId="0" fontId="1" fillId="3" borderId="8" xfId="0" applyFont="1" applyFill="1" applyBorder="1" applyAlignment="1">
      <alignment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5" fillId="0" borderId="0" xfId="0" applyFont="1" applyAlignment="1">
      <alignment horizontal="left" vertical="center"/>
    </xf>
    <xf numFmtId="0" fontId="0" fillId="3" borderId="19" xfId="0" applyFill="1" applyBorder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horizontal="center" vertical="top"/>
    </xf>
    <xf numFmtId="0" fontId="0" fillId="0" borderId="0" xfId="0" applyBorder="1"/>
    <xf numFmtId="0" fontId="0" fillId="2" borderId="0" xfId="0" applyFill="1" applyAlignment="1">
      <alignment horizontal="center"/>
    </xf>
    <xf numFmtId="0" fontId="22" fillId="2" borderId="0" xfId="0" applyFont="1" applyFill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0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20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0" fillId="2" borderId="0" xfId="0" applyFill="1" applyAlignment="1"/>
    <xf numFmtId="0" fontId="22" fillId="2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/>
    </xf>
    <xf numFmtId="0" fontId="1" fillId="2" borderId="1" xfId="0" applyFont="1" applyFill="1" applyBorder="1" applyAlignment="1">
      <alignment horizontal="center" vertical="center" textRotation="90"/>
    </xf>
    <xf numFmtId="0" fontId="0" fillId="0" borderId="26" xfId="0" applyBorder="1"/>
    <xf numFmtId="0" fontId="0" fillId="0" borderId="27" xfId="0" applyBorder="1"/>
    <xf numFmtId="0" fontId="19" fillId="0" borderId="1" xfId="0" applyFont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textRotation="90"/>
    </xf>
    <xf numFmtId="0" fontId="8" fillId="0" borderId="1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top" wrapText="1"/>
    </xf>
    <xf numFmtId="0" fontId="19" fillId="0" borderId="20" xfId="0" applyFont="1" applyBorder="1" applyAlignment="1">
      <alignment horizontal="center" vertical="top" wrapText="1"/>
    </xf>
    <xf numFmtId="0" fontId="19" fillId="0" borderId="16" xfId="0" applyFont="1" applyBorder="1" applyAlignment="1">
      <alignment horizontal="center" vertical="top" wrapText="1"/>
    </xf>
    <xf numFmtId="0" fontId="19" fillId="0" borderId="15" xfId="0" applyFont="1" applyBorder="1" applyAlignment="1">
      <alignment horizontal="center" vertical="top"/>
    </xf>
    <xf numFmtId="0" fontId="19" fillId="0" borderId="16" xfId="0" applyFont="1" applyBorder="1" applyAlignment="1">
      <alignment horizontal="center" vertical="top"/>
    </xf>
    <xf numFmtId="14" fontId="2" fillId="3" borderId="5" xfId="0" applyNumberFormat="1" applyFont="1" applyFill="1" applyBorder="1" applyAlignment="1">
      <alignment horizontal="right"/>
    </xf>
    <xf numFmtId="14" fontId="2" fillId="3" borderId="17" xfId="0" applyNumberFormat="1" applyFont="1" applyFill="1" applyBorder="1" applyAlignment="1">
      <alignment horizontal="right"/>
    </xf>
    <xf numFmtId="0" fontId="9" fillId="3" borderId="7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top"/>
    </xf>
    <xf numFmtId="0" fontId="1" fillId="2" borderId="16" xfId="0" applyFont="1" applyFill="1" applyBorder="1" applyAlignment="1">
      <alignment horizontal="center" vertical="top"/>
    </xf>
    <xf numFmtId="0" fontId="0" fillId="2" borderId="1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top" wrapText="1"/>
    </xf>
    <xf numFmtId="0" fontId="15" fillId="2" borderId="12" xfId="0" applyFont="1" applyFill="1" applyBorder="1" applyAlignment="1">
      <alignment horizontal="center" vertical="top" wrapText="1"/>
    </xf>
    <xf numFmtId="0" fontId="15" fillId="2" borderId="13" xfId="0" applyFont="1" applyFill="1" applyBorder="1" applyAlignment="1">
      <alignment horizontal="center" vertical="top" wrapText="1"/>
    </xf>
    <xf numFmtId="0" fontId="15" fillId="2" borderId="22" xfId="0" applyFont="1" applyFill="1" applyBorder="1" applyAlignment="1">
      <alignment horizontal="center" vertical="top" wrapText="1"/>
    </xf>
    <xf numFmtId="0" fontId="15" fillId="2" borderId="0" xfId="0" applyFont="1" applyFill="1" applyAlignment="1">
      <alignment horizontal="center" vertical="top" wrapText="1"/>
    </xf>
    <xf numFmtId="0" fontId="15" fillId="2" borderId="23" xfId="0" applyFont="1" applyFill="1" applyBorder="1" applyAlignment="1">
      <alignment horizontal="center" vertical="top" wrapText="1"/>
    </xf>
    <xf numFmtId="0" fontId="15" fillId="2" borderId="24" xfId="0" applyFont="1" applyFill="1" applyBorder="1" applyAlignment="1">
      <alignment horizontal="center" vertical="top" wrapText="1"/>
    </xf>
    <xf numFmtId="0" fontId="15" fillId="2" borderId="14" xfId="0" applyFont="1" applyFill="1" applyBorder="1" applyAlignment="1">
      <alignment horizontal="center" vertical="top" wrapText="1"/>
    </xf>
    <xf numFmtId="0" fontId="15" fillId="2" borderId="25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top" wrapText="1"/>
    </xf>
    <xf numFmtId="0" fontId="1" fillId="2" borderId="16" xfId="0" applyFont="1" applyFill="1" applyBorder="1" applyAlignment="1">
      <alignment horizontal="center" vertical="top" wrapText="1"/>
    </xf>
    <xf numFmtId="0" fontId="1" fillId="2" borderId="20" xfId="0" applyFont="1" applyFill="1" applyBorder="1" applyAlignment="1">
      <alignment horizontal="center" vertical="top"/>
    </xf>
    <xf numFmtId="0" fontId="21" fillId="0" borderId="14" xfId="0" applyFont="1" applyBorder="1" applyAlignment="1">
      <alignment horizontal="center"/>
    </xf>
    <xf numFmtId="0" fontId="12" fillId="2" borderId="19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top"/>
    </xf>
    <xf numFmtId="0" fontId="1" fillId="3" borderId="17" xfId="0" applyFont="1" applyFill="1" applyBorder="1" applyAlignment="1">
      <alignment horizontal="left" vertical="top"/>
    </xf>
    <xf numFmtId="0" fontId="5" fillId="2" borderId="0" xfId="0" applyFont="1" applyFill="1" applyAlignment="1">
      <alignment horizontal="center" vertical="center"/>
    </xf>
    <xf numFmtId="0" fontId="16" fillId="2" borderId="15" xfId="0" applyFont="1" applyFill="1" applyBorder="1" applyAlignment="1">
      <alignment horizontal="center" vertical="top"/>
    </xf>
    <xf numFmtId="0" fontId="16" fillId="2" borderId="16" xfId="0" applyFont="1" applyFill="1" applyBorder="1" applyAlignment="1">
      <alignment horizontal="center" vertical="top"/>
    </xf>
    <xf numFmtId="0" fontId="10" fillId="4" borderId="1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left" indent="1"/>
    </xf>
    <xf numFmtId="0" fontId="0" fillId="2" borderId="20" xfId="0" applyFill="1" applyBorder="1" applyAlignment="1">
      <alignment horizontal="left" indent="1"/>
    </xf>
    <xf numFmtId="0" fontId="0" fillId="2" borderId="16" xfId="0" applyFill="1" applyBorder="1" applyAlignment="1">
      <alignment horizontal="left" indent="1"/>
    </xf>
    <xf numFmtId="0" fontId="10" fillId="3" borderId="1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left" vertical="center"/>
    </xf>
    <xf numFmtId="0" fontId="11" fillId="2" borderId="16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49" fontId="32" fillId="0" borderId="32" xfId="0" applyNumberFormat="1" applyFont="1" applyBorder="1" applyAlignment="1">
      <alignment horizontal="center" vertical="center"/>
    </xf>
    <xf numFmtId="49" fontId="32" fillId="0" borderId="33" xfId="0" applyNumberFormat="1" applyFont="1" applyBorder="1" applyAlignment="1">
      <alignment horizontal="center" vertical="center"/>
    </xf>
    <xf numFmtId="49" fontId="32" fillId="0" borderId="28" xfId="0" applyNumberFormat="1" applyFont="1" applyBorder="1" applyAlignment="1">
      <alignment horizontal="center" vertical="center"/>
    </xf>
    <xf numFmtId="49" fontId="32" fillId="0" borderId="29" xfId="0" applyNumberFormat="1" applyFont="1" applyBorder="1" applyAlignment="1">
      <alignment horizontal="center" vertical="center"/>
    </xf>
    <xf numFmtId="49" fontId="32" fillId="0" borderId="30" xfId="0" applyNumberFormat="1" applyFont="1" applyBorder="1" applyAlignment="1">
      <alignment horizontal="center" vertical="center"/>
    </xf>
    <xf numFmtId="49" fontId="32" fillId="0" borderId="3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0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center" vertical="center"/>
    </xf>
    <xf numFmtId="0" fontId="16" fillId="2" borderId="15" xfId="0" applyFont="1" applyFill="1" applyBorder="1" applyAlignment="1">
      <alignment vertical="top"/>
    </xf>
    <xf numFmtId="0" fontId="16" fillId="2" borderId="20" xfId="0" applyFont="1" applyFill="1" applyBorder="1" applyAlignment="1">
      <alignment vertical="top"/>
    </xf>
    <xf numFmtId="0" fontId="16" fillId="2" borderId="16" xfId="0" applyFont="1" applyFill="1" applyBorder="1" applyAlignment="1">
      <alignment vertical="top"/>
    </xf>
    <xf numFmtId="0" fontId="11" fillId="2" borderId="11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3" borderId="19" xfId="0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31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" fillId="3" borderId="6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0" fontId="14" fillId="4" borderId="15" xfId="0" applyFont="1" applyFill="1" applyBorder="1" applyAlignment="1">
      <alignment horizontal="left"/>
    </xf>
    <xf numFmtId="0" fontId="14" fillId="4" borderId="16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textRotation="90"/>
    </xf>
    <xf numFmtId="0" fontId="16" fillId="3" borderId="6" xfId="0" applyFont="1" applyFill="1" applyBorder="1" applyAlignment="1">
      <alignment horizontal="center" vertical="top"/>
    </xf>
    <xf numFmtId="0" fontId="16" fillId="3" borderId="5" xfId="0" applyFont="1" applyFill="1" applyBorder="1" applyAlignment="1">
      <alignment horizontal="center" vertical="top"/>
    </xf>
    <xf numFmtId="0" fontId="1" fillId="3" borderId="10" xfId="0" applyFont="1" applyFill="1" applyBorder="1" applyAlignment="1">
      <alignment horizontal="center" vertical="top"/>
    </xf>
    <xf numFmtId="0" fontId="1" fillId="3" borderId="17" xfId="0" applyFont="1" applyFill="1" applyBorder="1" applyAlignment="1">
      <alignment horizontal="center" vertical="top"/>
    </xf>
    <xf numFmtId="0" fontId="0" fillId="3" borderId="5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5" xfId="0" applyFill="1" applyBorder="1" applyAlignment="1">
      <alignment horizontal="left" vertical="center"/>
    </xf>
    <xf numFmtId="0" fontId="0" fillId="0" borderId="16" xfId="0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3" borderId="15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13" Type="http://schemas.openxmlformats.org/officeDocument/2006/relationships/image" Target="../media/image11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9.jpg"/><Relationship Id="rId5" Type="http://schemas.openxmlformats.org/officeDocument/2006/relationships/image" Target="../media/image5.png"/><Relationship Id="rId10" Type="http://schemas.microsoft.com/office/2007/relationships/hdphoto" Target="../media/hdphoto2.wdp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89</xdr:row>
      <xdr:rowOff>0</xdr:rowOff>
    </xdr:from>
    <xdr:to>
      <xdr:col>4</xdr:col>
      <xdr:colOff>266700</xdr:colOff>
      <xdr:row>89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76575" y="12382500"/>
          <a:ext cx="1619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66675</xdr:colOff>
      <xdr:row>88</xdr:row>
      <xdr:rowOff>323850</xdr:rowOff>
    </xdr:from>
    <xdr:to>
      <xdr:col>8</xdr:col>
      <xdr:colOff>228600</xdr:colOff>
      <xdr:row>88</xdr:row>
      <xdr:rowOff>466725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86325" y="12382500"/>
          <a:ext cx="1619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85725</xdr:colOff>
      <xdr:row>88</xdr:row>
      <xdr:rowOff>304800</xdr:rowOff>
    </xdr:from>
    <xdr:to>
      <xdr:col>9</xdr:col>
      <xdr:colOff>247650</xdr:colOff>
      <xdr:row>88</xdr:row>
      <xdr:rowOff>438150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353050" y="12382500"/>
          <a:ext cx="1619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142875</xdr:colOff>
      <xdr:row>88</xdr:row>
      <xdr:rowOff>304800</xdr:rowOff>
    </xdr:from>
    <xdr:to>
      <xdr:col>10</xdr:col>
      <xdr:colOff>304800</xdr:colOff>
      <xdr:row>88</xdr:row>
      <xdr:rowOff>438150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791200" y="12382500"/>
          <a:ext cx="1619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361950</xdr:colOff>
      <xdr:row>42</xdr:row>
      <xdr:rowOff>0</xdr:rowOff>
    </xdr:from>
    <xdr:to>
      <xdr:col>8</xdr:col>
      <xdr:colOff>19049</xdr:colOff>
      <xdr:row>44</xdr:row>
      <xdr:rowOff>106892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10306050"/>
          <a:ext cx="1009649" cy="84984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85725</xdr:colOff>
      <xdr:row>88</xdr:row>
      <xdr:rowOff>304800</xdr:rowOff>
    </xdr:from>
    <xdr:to>
      <xdr:col>9</xdr:col>
      <xdr:colOff>247650</xdr:colOff>
      <xdr:row>88</xdr:row>
      <xdr:rowOff>438150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353050" y="12382500"/>
          <a:ext cx="1619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142875</xdr:colOff>
      <xdr:row>88</xdr:row>
      <xdr:rowOff>304800</xdr:rowOff>
    </xdr:from>
    <xdr:to>
      <xdr:col>10</xdr:col>
      <xdr:colOff>304800</xdr:colOff>
      <xdr:row>88</xdr:row>
      <xdr:rowOff>438150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791200" y="12382500"/>
          <a:ext cx="1619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104775</xdr:colOff>
      <xdr:row>89</xdr:row>
      <xdr:rowOff>0</xdr:rowOff>
    </xdr:from>
    <xdr:to>
      <xdr:col>5</xdr:col>
      <xdr:colOff>266700</xdr:colOff>
      <xdr:row>89</xdr:row>
      <xdr:rowOff>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619500" y="12382500"/>
          <a:ext cx="1619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4</xdr:col>
      <xdr:colOff>323850</xdr:colOff>
      <xdr:row>83</xdr:row>
      <xdr:rowOff>0</xdr:rowOff>
    </xdr:from>
    <xdr:ext cx="1047749" cy="752476"/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20993100"/>
          <a:ext cx="1047749" cy="75247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95250</xdr:colOff>
      <xdr:row>129</xdr:row>
      <xdr:rowOff>6350</xdr:rowOff>
    </xdr:from>
    <xdr:ext cx="942975" cy="733425"/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8083" y="31639933"/>
          <a:ext cx="942975" cy="733425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104775</xdr:colOff>
      <xdr:row>135</xdr:row>
      <xdr:rowOff>0</xdr:rowOff>
    </xdr:from>
    <xdr:to>
      <xdr:col>4</xdr:col>
      <xdr:colOff>266700</xdr:colOff>
      <xdr:row>135</xdr:row>
      <xdr:rowOff>0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076575" y="23107650"/>
          <a:ext cx="1619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66675</xdr:colOff>
      <xdr:row>134</xdr:row>
      <xdr:rowOff>323850</xdr:rowOff>
    </xdr:from>
    <xdr:to>
      <xdr:col>8</xdr:col>
      <xdr:colOff>228600</xdr:colOff>
      <xdr:row>134</xdr:row>
      <xdr:rowOff>466725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4886325" y="23107650"/>
          <a:ext cx="1619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85725</xdr:colOff>
      <xdr:row>134</xdr:row>
      <xdr:rowOff>304800</xdr:rowOff>
    </xdr:from>
    <xdr:to>
      <xdr:col>9</xdr:col>
      <xdr:colOff>247650</xdr:colOff>
      <xdr:row>134</xdr:row>
      <xdr:rowOff>438150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353050" y="23107650"/>
          <a:ext cx="1619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142875</xdr:colOff>
      <xdr:row>134</xdr:row>
      <xdr:rowOff>304800</xdr:rowOff>
    </xdr:from>
    <xdr:to>
      <xdr:col>10</xdr:col>
      <xdr:colOff>304800</xdr:colOff>
      <xdr:row>134</xdr:row>
      <xdr:rowOff>438150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791200" y="23107650"/>
          <a:ext cx="1619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85725</xdr:colOff>
      <xdr:row>134</xdr:row>
      <xdr:rowOff>304800</xdr:rowOff>
    </xdr:from>
    <xdr:to>
      <xdr:col>9</xdr:col>
      <xdr:colOff>247650</xdr:colOff>
      <xdr:row>134</xdr:row>
      <xdr:rowOff>438150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353050" y="23107650"/>
          <a:ext cx="1619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142875</xdr:colOff>
      <xdr:row>134</xdr:row>
      <xdr:rowOff>304800</xdr:rowOff>
    </xdr:from>
    <xdr:to>
      <xdr:col>10</xdr:col>
      <xdr:colOff>304800</xdr:colOff>
      <xdr:row>134</xdr:row>
      <xdr:rowOff>438150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791200" y="23107650"/>
          <a:ext cx="1619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104775</xdr:colOff>
      <xdr:row>135</xdr:row>
      <xdr:rowOff>0</xdr:rowOff>
    </xdr:from>
    <xdr:to>
      <xdr:col>5</xdr:col>
      <xdr:colOff>266700</xdr:colOff>
      <xdr:row>135</xdr:row>
      <xdr:rowOff>0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3619500" y="23107650"/>
          <a:ext cx="1619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38101</xdr:colOff>
      <xdr:row>0</xdr:row>
      <xdr:rowOff>0</xdr:rowOff>
    </xdr:from>
    <xdr:to>
      <xdr:col>7</xdr:col>
      <xdr:colOff>180975</xdr:colOff>
      <xdr:row>2</xdr:row>
      <xdr:rowOff>38100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2826" y="0"/>
          <a:ext cx="1095374" cy="76200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4</xdr:col>
      <xdr:colOff>257175</xdr:colOff>
      <xdr:row>166</xdr:row>
      <xdr:rowOff>38100</xdr:rowOff>
    </xdr:from>
    <xdr:ext cx="1076325" cy="733425"/>
    <xdr:pic>
      <xdr:nvPicPr>
        <xdr:cNvPr id="95" name="Imagem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42119550"/>
          <a:ext cx="1076325" cy="733425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104775</xdr:colOff>
      <xdr:row>172</xdr:row>
      <xdr:rowOff>0</xdr:rowOff>
    </xdr:from>
    <xdr:to>
      <xdr:col>4</xdr:col>
      <xdr:colOff>266700</xdr:colOff>
      <xdr:row>172</xdr:row>
      <xdr:rowOff>0</xdr:rowOff>
    </xdr:to>
    <xdr:sp macro="" textlink="">
      <xdr:nvSpPr>
        <xdr:cNvPr id="96" name="Retângulo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3076575" y="33461325"/>
          <a:ext cx="1619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66675</xdr:colOff>
      <xdr:row>171</xdr:row>
      <xdr:rowOff>323850</xdr:rowOff>
    </xdr:from>
    <xdr:to>
      <xdr:col>8</xdr:col>
      <xdr:colOff>228600</xdr:colOff>
      <xdr:row>171</xdr:row>
      <xdr:rowOff>466725</xdr:rowOff>
    </xdr:to>
    <xdr:sp macro="" textlink="">
      <xdr:nvSpPr>
        <xdr:cNvPr id="97" name="Retângulo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4933950" y="33461325"/>
          <a:ext cx="1619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85725</xdr:colOff>
      <xdr:row>171</xdr:row>
      <xdr:rowOff>304800</xdr:rowOff>
    </xdr:from>
    <xdr:to>
      <xdr:col>9</xdr:col>
      <xdr:colOff>247650</xdr:colOff>
      <xdr:row>171</xdr:row>
      <xdr:rowOff>438150</xdr:rowOff>
    </xdr:to>
    <xdr:sp macro="" textlink="">
      <xdr:nvSpPr>
        <xdr:cNvPr id="98" name="Retângulo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5486400" y="33461325"/>
          <a:ext cx="1619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142875</xdr:colOff>
      <xdr:row>171</xdr:row>
      <xdr:rowOff>304800</xdr:rowOff>
    </xdr:from>
    <xdr:to>
      <xdr:col>10</xdr:col>
      <xdr:colOff>304800</xdr:colOff>
      <xdr:row>171</xdr:row>
      <xdr:rowOff>438150</xdr:rowOff>
    </xdr:to>
    <xdr:sp macro="" textlink="">
      <xdr:nvSpPr>
        <xdr:cNvPr id="99" name="Retângulo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5991225" y="33461325"/>
          <a:ext cx="1238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85725</xdr:colOff>
      <xdr:row>171</xdr:row>
      <xdr:rowOff>304800</xdr:rowOff>
    </xdr:from>
    <xdr:to>
      <xdr:col>9</xdr:col>
      <xdr:colOff>247650</xdr:colOff>
      <xdr:row>171</xdr:row>
      <xdr:rowOff>438150</xdr:rowOff>
    </xdr:to>
    <xdr:sp macro="" textlink="">
      <xdr:nvSpPr>
        <xdr:cNvPr id="100" name="Retângulo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5486400" y="33461325"/>
          <a:ext cx="1619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142875</xdr:colOff>
      <xdr:row>171</xdr:row>
      <xdr:rowOff>304800</xdr:rowOff>
    </xdr:from>
    <xdr:to>
      <xdr:col>10</xdr:col>
      <xdr:colOff>304800</xdr:colOff>
      <xdr:row>171</xdr:row>
      <xdr:rowOff>438150</xdr:rowOff>
    </xdr:to>
    <xdr:sp macro="" textlink="">
      <xdr:nvSpPr>
        <xdr:cNvPr id="101" name="Retângulo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5991225" y="33461325"/>
          <a:ext cx="1238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104775</xdr:colOff>
      <xdr:row>172</xdr:row>
      <xdr:rowOff>0</xdr:rowOff>
    </xdr:from>
    <xdr:to>
      <xdr:col>5</xdr:col>
      <xdr:colOff>266700</xdr:colOff>
      <xdr:row>172</xdr:row>
      <xdr:rowOff>0</xdr:rowOff>
    </xdr:to>
    <xdr:sp macro="" textlink="">
      <xdr:nvSpPr>
        <xdr:cNvPr id="102" name="Retângulo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3619500" y="33461325"/>
          <a:ext cx="161925" cy="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</xdr:col>
      <xdr:colOff>119804</xdr:colOff>
      <xdr:row>109</xdr:row>
      <xdr:rowOff>80879</xdr:rowOff>
    </xdr:from>
    <xdr:to>
      <xdr:col>8</xdr:col>
      <xdr:colOff>211666</xdr:colOff>
      <xdr:row>118</xdr:row>
      <xdr:rowOff>65506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5971" y="27682212"/>
          <a:ext cx="3044612" cy="2101294"/>
        </a:xfrm>
        <a:prstGeom prst="rect">
          <a:avLst/>
        </a:prstGeom>
      </xdr:spPr>
    </xdr:pic>
    <xdr:clientData/>
  </xdr:twoCellAnchor>
  <xdr:oneCellAnchor>
    <xdr:from>
      <xdr:col>5</xdr:col>
      <xdr:colOff>95250</xdr:colOff>
      <xdr:row>215</xdr:row>
      <xdr:rowOff>0</xdr:rowOff>
    </xdr:from>
    <xdr:ext cx="1047749" cy="971550"/>
    <xdr:pic>
      <xdr:nvPicPr>
        <xdr:cNvPr id="35" name="Imagem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152400"/>
          <a:ext cx="1047749" cy="97155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7</xdr:col>
      <xdr:colOff>342900</xdr:colOff>
      <xdr:row>215</xdr:row>
      <xdr:rowOff>152401</xdr:rowOff>
    </xdr:from>
    <xdr:to>
      <xdr:col>11</xdr:col>
      <xdr:colOff>340783</xdr:colOff>
      <xdr:row>216</xdr:row>
      <xdr:rowOff>333376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0125" y="63969901"/>
          <a:ext cx="1600200" cy="590550"/>
        </a:xfrm>
        <a:prstGeom prst="rect">
          <a:avLst/>
        </a:prstGeom>
      </xdr:spPr>
    </xdr:pic>
    <xdr:clientData/>
  </xdr:twoCellAnchor>
  <xdr:twoCellAnchor editAs="oneCell">
    <xdr:from>
      <xdr:col>1</xdr:col>
      <xdr:colOff>581660</xdr:colOff>
      <xdr:row>63</xdr:row>
      <xdr:rowOff>283176</xdr:rowOff>
    </xdr:from>
    <xdr:to>
      <xdr:col>3</xdr:col>
      <xdr:colOff>645583</xdr:colOff>
      <xdr:row>72</xdr:row>
      <xdr:rowOff>148168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7875" t="11341" r="21230" b="3240"/>
        <a:stretch/>
      </xdr:blipFill>
      <xdr:spPr>
        <a:xfrm>
          <a:off x="825077" y="16168759"/>
          <a:ext cx="1746673" cy="2500242"/>
        </a:xfrm>
        <a:prstGeom prst="rect">
          <a:avLst/>
        </a:prstGeom>
      </xdr:spPr>
    </xdr:pic>
    <xdr:clientData/>
  </xdr:twoCellAnchor>
  <xdr:twoCellAnchor editAs="oneCell">
    <xdr:from>
      <xdr:col>6</xdr:col>
      <xdr:colOff>84667</xdr:colOff>
      <xdr:row>63</xdr:row>
      <xdr:rowOff>304828</xdr:rowOff>
    </xdr:from>
    <xdr:to>
      <xdr:col>11</xdr:col>
      <xdr:colOff>72814</xdr:colOff>
      <xdr:row>73</xdr:row>
      <xdr:rowOff>27517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00" y="16190411"/>
          <a:ext cx="2030731" cy="2548439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952500</xdr:colOff>
      <xdr:row>221</xdr:row>
      <xdr:rowOff>152400</xdr:rowOff>
    </xdr:from>
    <xdr:to>
      <xdr:col>7</xdr:col>
      <xdr:colOff>213349</xdr:colOff>
      <xdr:row>229</xdr:row>
      <xdr:rowOff>112476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6550" y="55292625"/>
          <a:ext cx="1804024" cy="1484076"/>
        </a:xfrm>
        <a:prstGeom prst="rect">
          <a:avLst/>
        </a:prstGeom>
      </xdr:spPr>
    </xdr:pic>
    <xdr:clientData/>
  </xdr:twoCellAnchor>
  <xdr:twoCellAnchor editAs="oneCell">
    <xdr:from>
      <xdr:col>0</xdr:col>
      <xdr:colOff>52917</xdr:colOff>
      <xdr:row>23</xdr:row>
      <xdr:rowOff>159973</xdr:rowOff>
    </xdr:from>
    <xdr:to>
      <xdr:col>9</xdr:col>
      <xdr:colOff>78317</xdr:colOff>
      <xdr:row>40</xdr:row>
      <xdr:rowOff>37374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917" y="6287723"/>
          <a:ext cx="5528733" cy="3761484"/>
        </a:xfrm>
        <a:prstGeom prst="rect">
          <a:avLst/>
        </a:prstGeom>
      </xdr:spPr>
    </xdr:pic>
    <xdr:clientData/>
  </xdr:twoCellAnchor>
  <xdr:twoCellAnchor editAs="oneCell">
    <xdr:from>
      <xdr:col>1</xdr:col>
      <xdr:colOff>819151</xdr:colOff>
      <xdr:row>221</xdr:row>
      <xdr:rowOff>19050</xdr:rowOff>
    </xdr:from>
    <xdr:to>
      <xdr:col>10</xdr:col>
      <xdr:colOff>63500</xdr:colOff>
      <xdr:row>238</xdr:row>
      <xdr:rowOff>44620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66801" y="53759100"/>
          <a:ext cx="4791074" cy="3264070"/>
        </a:xfrm>
        <a:prstGeom prst="rect">
          <a:avLst/>
        </a:prstGeom>
      </xdr:spPr>
    </xdr:pic>
    <xdr:clientData/>
  </xdr:twoCellAnchor>
  <xdr:twoCellAnchor editAs="oneCell">
    <xdr:from>
      <xdr:col>2</xdr:col>
      <xdr:colOff>384175</xdr:colOff>
      <xdr:row>147</xdr:row>
      <xdr:rowOff>31751</xdr:rowOff>
    </xdr:from>
    <xdr:to>
      <xdr:col>7</xdr:col>
      <xdr:colOff>286698</xdr:colOff>
      <xdr:row>157</xdr:row>
      <xdr:rowOff>147740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16592" y="36078584"/>
          <a:ext cx="3246856" cy="2994656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186</xdr:row>
      <xdr:rowOff>170663</xdr:rowOff>
    </xdr:from>
    <xdr:to>
      <xdr:col>3</xdr:col>
      <xdr:colOff>931333</xdr:colOff>
      <xdr:row>202</xdr:row>
      <xdr:rowOff>87843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59417" y="45922413"/>
          <a:ext cx="1598083" cy="32720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OneDrive\&#193;rea%20de%20Trabalho\PLANO%20MESTRE%20JANEIRO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P SINTETICO"/>
      <sheetName val="Monitoramento Diário"/>
      <sheetName val="ABC ATUALIZADA"/>
      <sheetName val="Imprevistos da Produção"/>
      <sheetName val="Planilha1"/>
      <sheetName val="Plano Mestre de Produção"/>
      <sheetName val="DESCRIÇÃO"/>
      <sheetName val="Dados_Gráficos"/>
      <sheetName val="Gráf_Resultado_X_Planejado"/>
      <sheetName val="Gráfico5"/>
      <sheetName val="Gráfico6"/>
      <sheetName val="Gráfico7"/>
      <sheetName val="Gráfico8"/>
      <sheetName val="Gráf_Prod_Setor"/>
      <sheetName val="FICHA CONFORMAÇÃO"/>
      <sheetName val="APONTAMENTO SOLDA"/>
      <sheetName val="Apontamento"/>
      <sheetName val="Projetos"/>
      <sheetName val="Requisição"/>
      <sheetName val="ENSAIO DE FADIGA"/>
      <sheetName val="Inventár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AD1000</v>
          </cell>
          <cell r="B2" t="str">
            <v xml:space="preserve">Engate Fixo Audi A3 ate 2007 </v>
          </cell>
        </row>
        <row r="3">
          <cell r="A3" t="str">
            <v>AD1001</v>
          </cell>
          <cell r="B3" t="str">
            <v>Engate Fixo Audi A3 Sedan 2012 até 2019</v>
          </cell>
        </row>
        <row r="4">
          <cell r="A4" t="str">
            <v>BM1000</v>
          </cell>
          <cell r="B4" t="str">
            <v>Engate Fixo BMW 125i Sport</v>
          </cell>
        </row>
        <row r="5">
          <cell r="A5" t="str">
            <v>BM1001</v>
          </cell>
          <cell r="B5" t="str">
            <v>Engate Fixo BMW X1 2015</v>
          </cell>
        </row>
        <row r="6">
          <cell r="A6" t="str">
            <v>BM1002</v>
          </cell>
          <cell r="B6" t="str">
            <v>Engate Fixo BMW 320i  2013 até 2018</v>
          </cell>
        </row>
        <row r="7">
          <cell r="A7" t="str">
            <v>BM1002</v>
          </cell>
          <cell r="B7" t="str">
            <v>Engate Fixo BMW 320i  2013 até 2018</v>
          </cell>
        </row>
        <row r="8">
          <cell r="A8" t="str">
            <v>BM1003</v>
          </cell>
          <cell r="B8" t="str">
            <v>Bmw X-4 2014 até 2018</v>
          </cell>
        </row>
        <row r="9">
          <cell r="A9" t="str">
            <v>BM1004</v>
          </cell>
          <cell r="B9" t="str">
            <v>Engate Fixo BMW 118i 2009 até 2015</v>
          </cell>
        </row>
        <row r="10">
          <cell r="A10" t="str">
            <v>CH1000</v>
          </cell>
          <cell r="B10" t="str">
            <v>Engate Fixo Chery Tiggo 2012 até 2017</v>
          </cell>
        </row>
        <row r="11">
          <cell r="A11" t="str">
            <v>CH1001</v>
          </cell>
          <cell r="B11" t="str">
            <v xml:space="preserve">Engate Fixo Chery QQ 2016 até 2018 </v>
          </cell>
        </row>
        <row r="12">
          <cell r="A12" t="str">
            <v>CH1003</v>
          </cell>
          <cell r="B12" t="str">
            <v>Engate Fixo Chery Tiggo 2 2017 até 2019</v>
          </cell>
        </row>
        <row r="13">
          <cell r="A13" t="str">
            <v>CH1004</v>
          </cell>
          <cell r="B13" t="str">
            <v>Engate Removivel Chery Tiggo 5X 2019/2020</v>
          </cell>
        </row>
        <row r="14">
          <cell r="A14" t="str">
            <v>CH1005</v>
          </cell>
          <cell r="B14" t="str">
            <v>Engate Fixo  Chery Tiggo 7X 2019 até 2021</v>
          </cell>
        </row>
        <row r="15">
          <cell r="A15" t="str">
            <v>CY1000</v>
          </cell>
          <cell r="B15" t="str">
            <v>Engate Fixo Citroen C-4 Pallas 2008 até 2013</v>
          </cell>
        </row>
        <row r="16">
          <cell r="A16" t="str">
            <v>CY1001</v>
          </cell>
          <cell r="B16" t="str">
            <v>Engate Fixo Citroen C-4 Hatch/VTR 2009 até 2013</v>
          </cell>
        </row>
        <row r="17">
          <cell r="A17" t="str">
            <v>CY1002</v>
          </cell>
          <cell r="B17" t="str">
            <v>Engate Fixo Citroen C-3 2006 até 2018</v>
          </cell>
        </row>
        <row r="18">
          <cell r="A18" t="str">
            <v>CY1003</v>
          </cell>
          <cell r="B18" t="str">
            <v>Engate Fixo Citroen C-3 Picasso  até 2011</v>
          </cell>
        </row>
        <row r="19">
          <cell r="A19" t="str">
            <v>CY1004</v>
          </cell>
          <cell r="B19" t="str">
            <v>Engate Fixo Citroen C-4 Lounge 2013 até 2018</v>
          </cell>
        </row>
        <row r="20">
          <cell r="A20" t="str">
            <v>CY1005</v>
          </cell>
          <cell r="B20" t="str">
            <v>Engate Fixo Citroen Picasso Xsara 2002 até 2010</v>
          </cell>
        </row>
        <row r="21">
          <cell r="A21" t="str">
            <v>CY1006</v>
          </cell>
          <cell r="B21" t="str">
            <v>Engate Fixo Citroen Air Cross 2010 até 2017</v>
          </cell>
        </row>
        <row r="22">
          <cell r="A22" t="str">
            <v>CY1007</v>
          </cell>
          <cell r="B22" t="str">
            <v>Engate Fixo Citroen Jumper/Peugeot Boxer/Ducato</v>
          </cell>
        </row>
        <row r="23">
          <cell r="A23" t="str">
            <v>CY1008</v>
          </cell>
          <cell r="B23" t="str">
            <v>Engate Fixo Citroen C-4 Picasso 2009  até 2012</v>
          </cell>
        </row>
        <row r="24">
          <cell r="A24" t="str">
            <v>CY1009</v>
          </cell>
          <cell r="B24" t="str">
            <v>Engate Fixo Citroen C-4 Cactus 2019 até 2020</v>
          </cell>
        </row>
        <row r="25">
          <cell r="A25" t="str">
            <v>CY1010</v>
          </cell>
          <cell r="B25" t="str">
            <v>Engate Removível Citroen C-4 Cactus 2019 até 2020</v>
          </cell>
        </row>
        <row r="26">
          <cell r="A26" t="str">
            <v>CY1011</v>
          </cell>
          <cell r="B26" t="str">
            <v>Engate Removível Citroen DS3 2013</v>
          </cell>
        </row>
        <row r="27">
          <cell r="A27" t="str">
            <v>CY1012</v>
          </cell>
          <cell r="B27" t="str">
            <v>Engate Fixo  C4 Picasso 2016 até 2019</v>
          </cell>
        </row>
        <row r="28">
          <cell r="A28" t="str">
            <v>DG1000</v>
          </cell>
          <cell r="B28" t="str">
            <v xml:space="preserve">Engate Fixo Dodge Journey SXT / Freemont  </v>
          </cell>
        </row>
        <row r="29">
          <cell r="A29" t="str">
            <v>DG1001</v>
          </cell>
          <cell r="B29" t="str">
            <v>Engate Fixo Dodge Ram</v>
          </cell>
        </row>
        <row r="30">
          <cell r="A30" t="str">
            <v>FO2000</v>
          </cell>
          <cell r="B30" t="str">
            <v>Engate Removivel Ford Ranger 2013 até 2019</v>
          </cell>
        </row>
        <row r="31">
          <cell r="A31" t="str">
            <v>FO2001</v>
          </cell>
          <cell r="B31" t="str">
            <v>Engate Fixo Ford Ranger 2013 até 2019</v>
          </cell>
        </row>
        <row r="32">
          <cell r="A32" t="str">
            <v>FO2002</v>
          </cell>
          <cell r="B32" t="str">
            <v xml:space="preserve">Engate Fixo Ford Ka Hatch 2015  até 2019 </v>
          </cell>
        </row>
        <row r="33">
          <cell r="A33" t="str">
            <v>FO2003</v>
          </cell>
          <cell r="B33" t="str">
            <v>Engate Fixo Ford Fiesta Sedan 2002 até 2012</v>
          </cell>
        </row>
        <row r="34">
          <cell r="A34" t="str">
            <v>FO2004</v>
          </cell>
          <cell r="B34" t="str">
            <v>Engate Fixo Ford Fiesta Hatch 2002 até 2012</v>
          </cell>
        </row>
        <row r="35">
          <cell r="A35" t="str">
            <v>FO2005</v>
          </cell>
          <cell r="B35" t="str">
            <v xml:space="preserve">Engate Fixo Ford Ecosport 2003 até 2012 </v>
          </cell>
        </row>
        <row r="36">
          <cell r="A36" t="str">
            <v>FO2006</v>
          </cell>
          <cell r="B36" t="str">
            <v>Engate Fixo Ford Ranger 2005 até 2011</v>
          </cell>
        </row>
        <row r="37">
          <cell r="A37" t="str">
            <v>FO2007</v>
          </cell>
          <cell r="B37" t="str">
            <v>Engate Fixo Ford Focus Sedan até 2008</v>
          </cell>
        </row>
        <row r="38">
          <cell r="A38" t="str">
            <v>FO2008</v>
          </cell>
          <cell r="B38" t="str">
            <v xml:space="preserve">Engate Fixo Ford Escort 87/92 Apolo/ Verona 96 </v>
          </cell>
        </row>
        <row r="39">
          <cell r="A39" t="str">
            <v>FO2009</v>
          </cell>
          <cell r="B39" t="str">
            <v xml:space="preserve">Engate Fixo Ford Fusion 2010 até 2012 </v>
          </cell>
        </row>
        <row r="40">
          <cell r="A40" t="str">
            <v>FO2010</v>
          </cell>
          <cell r="B40" t="str">
            <v>Engate Fixo Ford Ecosport 1.6 2013 até 2016</v>
          </cell>
        </row>
        <row r="41">
          <cell r="A41" t="str">
            <v>FO2011</v>
          </cell>
          <cell r="B41" t="str">
            <v>Engate Fixo Ford Ecosport 2.0 2013 até 2016</v>
          </cell>
        </row>
        <row r="42">
          <cell r="A42" t="str">
            <v>FO2012</v>
          </cell>
          <cell r="B42" t="str">
            <v>Engate Fixo Ford Fusion 2013 até 2018</v>
          </cell>
        </row>
        <row r="43">
          <cell r="A43" t="str">
            <v>FO2013</v>
          </cell>
          <cell r="B43" t="str">
            <v xml:space="preserve">Engate Fixo Ford Ka 2012 ate 2014 </v>
          </cell>
        </row>
        <row r="44">
          <cell r="A44" t="str">
            <v>FO2014</v>
          </cell>
          <cell r="B44" t="str">
            <v>Engate Removivel Ford Edge 2011 até 2014</v>
          </cell>
        </row>
        <row r="45">
          <cell r="A45" t="str">
            <v>FO2015</v>
          </cell>
          <cell r="B45" t="str">
            <v>Engate Fixo Ford Ka 2008 ate 2013</v>
          </cell>
        </row>
        <row r="46">
          <cell r="A46" t="str">
            <v>FO2016</v>
          </cell>
          <cell r="B46" t="str">
            <v xml:space="preserve">Engate Fixo Ford Focus Hatch 2009 ate 2013 </v>
          </cell>
        </row>
        <row r="47">
          <cell r="A47" t="str">
            <v>FO2017</v>
          </cell>
          <cell r="B47" t="str">
            <v xml:space="preserve">Engate Removivel Ford Ranger 2005 até 2011 </v>
          </cell>
        </row>
        <row r="48">
          <cell r="A48" t="str">
            <v>FO2018</v>
          </cell>
          <cell r="B48" t="str">
            <v xml:space="preserve">Engate Fixo Ford Focus Sedan 2009 até 2013 </v>
          </cell>
        </row>
        <row r="49">
          <cell r="A49" t="str">
            <v>FO2019</v>
          </cell>
          <cell r="B49" t="str">
            <v>Engate Fixo Ford Fiesta Sedan Até 2004  (Street)</v>
          </cell>
        </row>
        <row r="50">
          <cell r="A50" t="str">
            <v>FO2020</v>
          </cell>
          <cell r="B50" t="str">
            <v xml:space="preserve">Engate Fixo Ford Fiesta 1996 até 2001 </v>
          </cell>
        </row>
        <row r="51">
          <cell r="A51" t="str">
            <v>FO2021</v>
          </cell>
          <cell r="B51" t="str">
            <v>Engate Fixo Ford New Fiesta Hatch 2013 até 2018</v>
          </cell>
        </row>
        <row r="52">
          <cell r="A52" t="str">
            <v>FO2022</v>
          </cell>
          <cell r="B52" t="str">
            <v>Engate Fixo Ford Escort Hatch 1997 até 2003(Zetec)</v>
          </cell>
        </row>
        <row r="53">
          <cell r="A53" t="str">
            <v>FO2023</v>
          </cell>
          <cell r="B53" t="str">
            <v>Engate Fixo Ford Focus Hatch 2014 até 2018</v>
          </cell>
        </row>
        <row r="54">
          <cell r="A54" t="str">
            <v>FO2024</v>
          </cell>
          <cell r="B54" t="str">
            <v>Engate Fixo Ford Escort SW Perua (Zetec)</v>
          </cell>
        </row>
        <row r="55">
          <cell r="A55" t="str">
            <v>FO2025</v>
          </cell>
          <cell r="B55" t="str">
            <v xml:space="preserve">Engate Fixo Ford Ka 1996 até 2001 </v>
          </cell>
        </row>
        <row r="56">
          <cell r="A56" t="str">
            <v>FO2026</v>
          </cell>
          <cell r="B56" t="str">
            <v>Engate Fixo Ford F-250 todos</v>
          </cell>
        </row>
        <row r="57">
          <cell r="A57" t="str">
            <v>FO2027</v>
          </cell>
          <cell r="B57" t="str">
            <v xml:space="preserve">Engate Fixo Ford Edge 2011 Acima </v>
          </cell>
        </row>
        <row r="58">
          <cell r="A58" t="str">
            <v>FO2028</v>
          </cell>
          <cell r="B58" t="str">
            <v>Engate Fixo Ford Courier todos</v>
          </cell>
        </row>
        <row r="59">
          <cell r="A59" t="str">
            <v>FO2029</v>
          </cell>
          <cell r="B59" t="str">
            <v>Engate Fixo Ford Focus Sedan 2014 até 2018</v>
          </cell>
        </row>
        <row r="60">
          <cell r="A60" t="str">
            <v>FO2030</v>
          </cell>
          <cell r="B60" t="str">
            <v xml:space="preserve">Engate Fixo Ford Fusion até 2009 </v>
          </cell>
        </row>
        <row r="61">
          <cell r="A61" t="str">
            <v>FO2032</v>
          </cell>
          <cell r="B61" t="str">
            <v>Engate Fixo Ford Ka 2002 até 2006</v>
          </cell>
        </row>
        <row r="62">
          <cell r="A62" t="str">
            <v>FO2033</v>
          </cell>
          <cell r="B62" t="str">
            <v>Engate Fixo Ford Ka Sedan 2015 até 2019</v>
          </cell>
        </row>
        <row r="63">
          <cell r="A63" t="str">
            <v>FO2034</v>
          </cell>
          <cell r="B63" t="str">
            <v xml:space="preserve">Engate Fixo Ford Focus Hatch até 2008 </v>
          </cell>
        </row>
        <row r="64">
          <cell r="A64" t="str">
            <v>FO2035</v>
          </cell>
          <cell r="B64" t="str">
            <v xml:space="preserve">Engate Fixo Ford Focus 2015 Acima </v>
          </cell>
        </row>
        <row r="65">
          <cell r="A65" t="str">
            <v>FO2037</v>
          </cell>
          <cell r="B65" t="str">
            <v xml:space="preserve">Engate Fixo Ford Focus Hatch até 2008 </v>
          </cell>
        </row>
        <row r="66">
          <cell r="A66" t="str">
            <v>FO2038</v>
          </cell>
          <cell r="B66" t="str">
            <v>Engate Ford Ranger até 2011 Fixação Parachoque</v>
          </cell>
        </row>
        <row r="67">
          <cell r="A67" t="str">
            <v>FO2039</v>
          </cell>
          <cell r="B67" t="str">
            <v>Engate Fixo Ford Pampa Todas</v>
          </cell>
        </row>
        <row r="68">
          <cell r="A68" t="str">
            <v>FO2040</v>
          </cell>
          <cell r="B68" t="str">
            <v>Engate Fixo Ford Ecosport 13 até 19 (4X2 E 4X4)</v>
          </cell>
        </row>
        <row r="69">
          <cell r="A69" t="str">
            <v>FO2041</v>
          </cell>
          <cell r="B69" t="str">
            <v>Engate Fixo Ford New Fiesta Sedan 2013 até 2018</v>
          </cell>
        </row>
        <row r="70">
          <cell r="A70" t="str">
            <v>FO2042</v>
          </cell>
          <cell r="B70" t="str">
            <v>Engate Fixo Ford Ecosport 1.5 Titanium  2019/2020</v>
          </cell>
        </row>
        <row r="71">
          <cell r="A71" t="str">
            <v>FO2043</v>
          </cell>
          <cell r="B71" t="str">
            <v>Engate Ford Fiesta Mexicano 2011 até 2014</v>
          </cell>
        </row>
        <row r="72">
          <cell r="A72" t="str">
            <v>FT4000</v>
          </cell>
          <cell r="B72" t="str">
            <v>Engate Fixo Fiat Strada 2003 até 2020</v>
          </cell>
        </row>
        <row r="73">
          <cell r="A73" t="str">
            <v>FT4001</v>
          </cell>
          <cell r="B73" t="str">
            <v>Engate Fixo Fiat Siena 2004 até 2015</v>
          </cell>
        </row>
        <row r="74">
          <cell r="A74" t="str">
            <v>FT4002</v>
          </cell>
          <cell r="B74" t="str">
            <v>Engate Fixo Fiat Uno 2004 até 2015 (Quadrada)</v>
          </cell>
        </row>
        <row r="75">
          <cell r="A75" t="str">
            <v>FT4003</v>
          </cell>
          <cell r="B75" t="str">
            <v xml:space="preserve">Engate Fixo Fiat Uno Até 2003 </v>
          </cell>
        </row>
        <row r="76">
          <cell r="A76" t="str">
            <v>FT4004</v>
          </cell>
          <cell r="B76" t="str">
            <v xml:space="preserve">Engate Fixo Palio Econo/ELX/ACTR 2004 até 2017 </v>
          </cell>
        </row>
        <row r="77">
          <cell r="A77" t="str">
            <v>FT4005</v>
          </cell>
          <cell r="B77" t="str">
            <v>Engate Fixo Fiat Doblô Cargo 2006 até 2017</v>
          </cell>
        </row>
        <row r="78">
          <cell r="A78" t="str">
            <v>FT4006</v>
          </cell>
          <cell r="B78" t="str">
            <v xml:space="preserve">Engate Fixo Fiat Palio Week/Trek 2009 até 2012 </v>
          </cell>
        </row>
        <row r="79">
          <cell r="A79" t="str">
            <v>FT4007</v>
          </cell>
          <cell r="B79" t="str">
            <v>Engate Fixo Fiat Punto 2007 até 2017</v>
          </cell>
        </row>
        <row r="80">
          <cell r="A80" t="str">
            <v>FT4008</v>
          </cell>
          <cell r="B80" t="str">
            <v>Engate Fixo Fiat Palio Adv. Locker 2009 até 2018</v>
          </cell>
        </row>
        <row r="81">
          <cell r="A81" t="str">
            <v>FT4009</v>
          </cell>
          <cell r="B81" t="str">
            <v>Engate Fixo Fiat Palio Essen/Atrac 2012 até 2016</v>
          </cell>
        </row>
        <row r="82">
          <cell r="A82" t="str">
            <v>FT4010</v>
          </cell>
          <cell r="B82" t="str">
            <v xml:space="preserve">Engate Fixo Fiat Palio Elx 2008 Acima </v>
          </cell>
        </row>
        <row r="83">
          <cell r="A83" t="str">
            <v>FT4011</v>
          </cell>
          <cell r="B83" t="str">
            <v>Engate Removivel Fiat Siena 04/09 BRUCKE</v>
          </cell>
        </row>
        <row r="84">
          <cell r="A84" t="str">
            <v>FT4012</v>
          </cell>
          <cell r="B84" t="str">
            <v xml:space="preserve">Engate Fixo Fiat Palio Até 2003 </v>
          </cell>
        </row>
        <row r="85">
          <cell r="A85" t="str">
            <v>FT4013</v>
          </cell>
          <cell r="B85" t="str">
            <v>Engate Fixo Fiat Fiorino 1994 até 2012</v>
          </cell>
        </row>
        <row r="86">
          <cell r="A86" t="str">
            <v>FT4014</v>
          </cell>
          <cell r="B86" t="str">
            <v xml:space="preserve">Engate Fixo Fiat Palio Week. Até 2003 </v>
          </cell>
        </row>
        <row r="87">
          <cell r="A87" t="str">
            <v>FT4015</v>
          </cell>
          <cell r="B87" t="str">
            <v>Engate Fixo Fiat Novo Uno Sport 2011 até 2014</v>
          </cell>
        </row>
        <row r="88">
          <cell r="A88" t="str">
            <v>FT4016</v>
          </cell>
          <cell r="B88" t="str">
            <v>Engate Fixo Fiat Uno Way/Vivace/Drive 2011 - 2020</v>
          </cell>
        </row>
        <row r="89">
          <cell r="A89" t="str">
            <v>FT4017</v>
          </cell>
          <cell r="B89" t="str">
            <v>Engate Fixo Fiat Idea Essen/Atract 2013 até 2017</v>
          </cell>
        </row>
        <row r="90">
          <cell r="A90" t="str">
            <v>FT4018</v>
          </cell>
          <cell r="B90" t="str">
            <v>Engate Fixo Fiat Grand Siena 2012 até 2018</v>
          </cell>
        </row>
        <row r="91">
          <cell r="A91" t="str">
            <v>FT4019</v>
          </cell>
          <cell r="B91" t="str">
            <v xml:space="preserve">Engate Fixo Fiat Fiorino 2014 até 2018 </v>
          </cell>
        </row>
        <row r="92">
          <cell r="A92" t="str">
            <v>FT4020</v>
          </cell>
          <cell r="B92" t="str">
            <v>Engate Fixo Fiat Marea Sedan Todos</v>
          </cell>
        </row>
        <row r="93">
          <cell r="A93" t="str">
            <v>FT4021</v>
          </cell>
          <cell r="B93" t="str">
            <v xml:space="preserve">Engate Fixo Fiat Palio Week. 2004 a 2008 </v>
          </cell>
        </row>
        <row r="94">
          <cell r="A94" t="str">
            <v>FT4022</v>
          </cell>
          <cell r="B94" t="str">
            <v xml:space="preserve">Engate Fixo Fiat Doblô ADV. 2007 ate 2011 </v>
          </cell>
        </row>
        <row r="95">
          <cell r="A95" t="str">
            <v>FT4023</v>
          </cell>
          <cell r="B95" t="str">
            <v>Engate Fixo Fiat Elba todos</v>
          </cell>
        </row>
        <row r="96">
          <cell r="A96" t="str">
            <v>FT4024</v>
          </cell>
          <cell r="B96" t="str">
            <v>Engate Fixo Fiat Idea Adventure</v>
          </cell>
        </row>
        <row r="97">
          <cell r="A97" t="str">
            <v>FT4025</v>
          </cell>
          <cell r="B97" t="str">
            <v>Engate Fixo Fiat Doblô ADV 2003 até 2017</v>
          </cell>
        </row>
        <row r="98">
          <cell r="A98" t="str">
            <v>FT4026</v>
          </cell>
          <cell r="B98" t="str">
            <v>Engate Fixo Fiat Tipo todos</v>
          </cell>
        </row>
        <row r="99">
          <cell r="A99" t="str">
            <v>FT4027</v>
          </cell>
          <cell r="B99" t="str">
            <v>Engate Fixo Fiat Doblô 2001 até 2017 (Passageiro)</v>
          </cell>
        </row>
        <row r="100">
          <cell r="A100" t="str">
            <v>FT4028</v>
          </cell>
          <cell r="B100" t="str">
            <v>Engate Fixo Fiat Ducato-Jumper /Box 2013 até 2017</v>
          </cell>
        </row>
        <row r="101">
          <cell r="A101" t="str">
            <v>FT4029</v>
          </cell>
          <cell r="B101" t="str">
            <v xml:space="preserve">Engate Fixo Fiat Palio/04 Ac.1.4/1.8 até 07 </v>
          </cell>
        </row>
        <row r="102">
          <cell r="A102" t="str">
            <v>FT4030</v>
          </cell>
          <cell r="B102" t="str">
            <v xml:space="preserve">Engate Fixo Fiat Tempra ate 98 </v>
          </cell>
        </row>
        <row r="103">
          <cell r="A103" t="str">
            <v>FT4031</v>
          </cell>
          <cell r="B103" t="str">
            <v>Engate Fixo Fiat Palio ADV Locker 2014 Acima</v>
          </cell>
        </row>
        <row r="104">
          <cell r="A104" t="str">
            <v>FT4032</v>
          </cell>
          <cell r="B104" t="str">
            <v>Engate Fixo Fiat Palio Sport 2012 até 2018</v>
          </cell>
        </row>
        <row r="105">
          <cell r="A105" t="str">
            <v>FT4034</v>
          </cell>
          <cell r="B105" t="str">
            <v>Engate Fixo Fiat Bravo 2011 até 2016</v>
          </cell>
        </row>
        <row r="106">
          <cell r="A106" t="str">
            <v>FT4035a</v>
          </cell>
          <cell r="B106" t="str">
            <v>Engate Fixo Fiat Palio 2004  ECON/ELX  CURTO</v>
          </cell>
        </row>
        <row r="107">
          <cell r="A107" t="str">
            <v>FT4036</v>
          </cell>
          <cell r="B107" t="str">
            <v>Engate Fixo Fiat Toro 2016 até 2019</v>
          </cell>
        </row>
        <row r="108">
          <cell r="A108" t="str">
            <v>FT4037</v>
          </cell>
          <cell r="B108" t="str">
            <v>Engate Fixo Fiat Mobi 2015 até 2018</v>
          </cell>
        </row>
        <row r="109">
          <cell r="A109" t="str">
            <v>FT4038</v>
          </cell>
          <cell r="B109" t="str">
            <v>Engate Fixo Fiat Palio WAY(C/Spoiler)2014 até 2016</v>
          </cell>
        </row>
        <row r="110">
          <cell r="A110" t="str">
            <v>FT4039</v>
          </cell>
          <cell r="B110" t="str">
            <v>Engate Fixo Fiat Stilo 2002 até 2011</v>
          </cell>
        </row>
        <row r="111">
          <cell r="A111" t="str">
            <v>FT4040</v>
          </cell>
          <cell r="B111" t="str">
            <v>Engate Removível Fiat Toro 2016 até 2020</v>
          </cell>
        </row>
        <row r="112">
          <cell r="A112" t="str">
            <v>FT4041</v>
          </cell>
          <cell r="B112" t="str">
            <v>Engate Fixo Fiat Idea Adventure 2010 até 2017</v>
          </cell>
        </row>
        <row r="113">
          <cell r="A113" t="str">
            <v>FT4042</v>
          </cell>
          <cell r="B113" t="str">
            <v>Engate Fixo Fiat Argo 2017 até 2019</v>
          </cell>
        </row>
        <row r="114">
          <cell r="A114" t="str">
            <v>FT4043</v>
          </cell>
          <cell r="B114" t="str">
            <v xml:space="preserve">Engate Fixo Fiat Freemonth/Jorney </v>
          </cell>
        </row>
        <row r="115">
          <cell r="A115" t="str">
            <v>FT4044</v>
          </cell>
          <cell r="B115" t="str">
            <v>Engate Fixo Fiat Linea 2009 até 2016</v>
          </cell>
        </row>
        <row r="116">
          <cell r="A116" t="str">
            <v>FT4045</v>
          </cell>
          <cell r="B116" t="str">
            <v>Engate Fixo Fiat Palio Todos c/ Furo p/ 300Kg</v>
          </cell>
        </row>
        <row r="117">
          <cell r="A117" t="str">
            <v>FT4046</v>
          </cell>
          <cell r="B117" t="str">
            <v>Engate Fixo Fiat Cronos 2018 até 2020</v>
          </cell>
        </row>
        <row r="118">
          <cell r="A118" t="str">
            <v>FT4047</v>
          </cell>
          <cell r="B118" t="str">
            <v>Engate Fixo Fiat Toro 2016 até 2020  Tubo Embutido</v>
          </cell>
        </row>
        <row r="119">
          <cell r="A119" t="str">
            <v>FT4048</v>
          </cell>
          <cell r="B119" t="str">
            <v>Engate Removível Fiat Toro 2020</v>
          </cell>
        </row>
        <row r="120">
          <cell r="A120" t="str">
            <v>FT4049</v>
          </cell>
          <cell r="B120" t="str">
            <v>Engate Fixo Fiat Toro 2020</v>
          </cell>
        </row>
        <row r="121">
          <cell r="A121" t="str">
            <v>FT4050</v>
          </cell>
          <cell r="B121" t="str">
            <v>Engate Fixo Fiat Ducato 2019</v>
          </cell>
        </row>
        <row r="122">
          <cell r="A122" t="str">
            <v>FT4051</v>
          </cell>
          <cell r="B122" t="str">
            <v>Engate Fixo Fiat Strada 2021</v>
          </cell>
        </row>
        <row r="123">
          <cell r="A123" t="str">
            <v>GM3000</v>
          </cell>
          <cell r="B123" t="str">
            <v>Engate Fixo GM Cruze Sedan 2012 até 2016</v>
          </cell>
        </row>
        <row r="124">
          <cell r="A124" t="str">
            <v>GM3001</v>
          </cell>
          <cell r="B124" t="str">
            <v xml:space="preserve">Engate Fixo GM Corsa Sedan/Classic ate 2009 </v>
          </cell>
        </row>
        <row r="125">
          <cell r="A125" t="str">
            <v>GM3002</v>
          </cell>
          <cell r="B125" t="str">
            <v xml:space="preserve">Engate Fixo GM S10 CD / CS - 2001 até 2011 </v>
          </cell>
        </row>
        <row r="126">
          <cell r="A126" t="str">
            <v>GM3003</v>
          </cell>
          <cell r="B126" t="str">
            <v xml:space="preserve">Engate Fixo GM Celta Todos / Corsa Wind </v>
          </cell>
        </row>
        <row r="127">
          <cell r="A127" t="str">
            <v>GM3004</v>
          </cell>
          <cell r="B127" t="str">
            <v>Engate Fixo GM S10 - 2012 até 2019</v>
          </cell>
        </row>
        <row r="128">
          <cell r="A128" t="str">
            <v>GM3005</v>
          </cell>
          <cell r="B128" t="str">
            <v>Engate Removivel GM S10 - 2012 até 2019</v>
          </cell>
        </row>
        <row r="129">
          <cell r="A129" t="str">
            <v>GM3006</v>
          </cell>
          <cell r="B129" t="str">
            <v>Engate Fixo GM Montana 2011 até 2020</v>
          </cell>
        </row>
        <row r="130">
          <cell r="A130" t="str">
            <v>GM3007</v>
          </cell>
          <cell r="B130" t="str">
            <v xml:space="preserve">Engate Fixo GM Astra sedan/Hatch 1999 até 2011 </v>
          </cell>
        </row>
        <row r="131">
          <cell r="A131" t="str">
            <v>GM3008</v>
          </cell>
          <cell r="B131" t="str">
            <v xml:space="preserve">Engate Fixo  GM Cobalt até 2015 </v>
          </cell>
        </row>
        <row r="132">
          <cell r="A132" t="str">
            <v>GM3010</v>
          </cell>
          <cell r="B132" t="str">
            <v>Engate Fixo GM Astra 1999 Acima Sport</v>
          </cell>
        </row>
        <row r="133">
          <cell r="A133" t="str">
            <v>GM3011</v>
          </cell>
          <cell r="B133" t="str">
            <v>Engate Fixo GM Onix/Activ/Sonic hatch 2011 a 2019</v>
          </cell>
        </row>
        <row r="134">
          <cell r="A134" t="str">
            <v>GM3011</v>
          </cell>
          <cell r="B134" t="str">
            <v>Engate Fixo GM Onix/Activ/Sonic hatch 2011 a 2019</v>
          </cell>
        </row>
        <row r="135">
          <cell r="A135" t="str">
            <v>GM3011</v>
          </cell>
          <cell r="B135" t="str">
            <v>Engate Fixo GM Onix/Activ/Sonic hatch 2011 a 2019</v>
          </cell>
        </row>
        <row r="136">
          <cell r="A136" t="str">
            <v>GM3012</v>
          </cell>
          <cell r="B136" t="str">
            <v>Engate Fixo GM Meriva 2003 até 2012</v>
          </cell>
        </row>
        <row r="137">
          <cell r="A137" t="str">
            <v>GM3013</v>
          </cell>
          <cell r="B137" t="str">
            <v xml:space="preserve">Engate Fixo GM Cruze Hatch 2012 até 2016 </v>
          </cell>
        </row>
        <row r="138">
          <cell r="A138" t="str">
            <v>GM3014</v>
          </cell>
          <cell r="B138" t="str">
            <v>Engate Fixo GM Prisma 2013 até 2019</v>
          </cell>
        </row>
        <row r="139">
          <cell r="A139" t="str">
            <v>GM3015</v>
          </cell>
          <cell r="B139" t="str">
            <v>Engate Fixo Spin LT/LTZ 2013 até 2017</v>
          </cell>
        </row>
        <row r="140">
          <cell r="A140" t="str">
            <v>GM3016</v>
          </cell>
          <cell r="B140" t="str">
            <v>Engate Fixo GM Zafira 2001 até 2012</v>
          </cell>
        </row>
        <row r="141">
          <cell r="A141" t="str">
            <v>GM3017</v>
          </cell>
          <cell r="B141" t="str">
            <v>Engate Fixo GM Monza 1991 até 1995 (Tubarão)</v>
          </cell>
        </row>
        <row r="142">
          <cell r="A142" t="str">
            <v>GM3018</v>
          </cell>
          <cell r="B142" t="str">
            <v>Engate Fixo GM Corsa Sedan 2002 até 2006 (Corsão)</v>
          </cell>
        </row>
        <row r="143">
          <cell r="A143" t="str">
            <v>GM3019</v>
          </cell>
          <cell r="B143" t="str">
            <v>Engate Fixo GM Ipanema 1996 até 1997</v>
          </cell>
        </row>
        <row r="144">
          <cell r="A144" t="str">
            <v>GM3020</v>
          </cell>
          <cell r="B144" t="str">
            <v>Engate Fixo GM Tracker 2014 até 2019</v>
          </cell>
        </row>
        <row r="145">
          <cell r="A145" t="str">
            <v>GM3021</v>
          </cell>
          <cell r="B145" t="str">
            <v>Engate Removivel GM Trail Blazer 2013 até 2020</v>
          </cell>
        </row>
        <row r="146">
          <cell r="A146" t="str">
            <v>GM3022</v>
          </cell>
          <cell r="B146" t="str">
            <v>Engate Fixo GM Monza até 1990</v>
          </cell>
        </row>
        <row r="147">
          <cell r="A147" t="str">
            <v>GM3025</v>
          </cell>
          <cell r="B147" t="str">
            <v>Engate Fixo GM Corsa Classic 2010 até 2016</v>
          </cell>
        </row>
        <row r="148">
          <cell r="A148" t="str">
            <v>GM3027</v>
          </cell>
          <cell r="B148" t="str">
            <v>Engate Removivel GM S10  2001 até 2011 (Pitbull)</v>
          </cell>
        </row>
        <row r="149">
          <cell r="A149" t="str">
            <v>GM3028</v>
          </cell>
          <cell r="B149" t="str">
            <v xml:space="preserve">Engate Fixo GM Prisma 2006 até 2012 </v>
          </cell>
        </row>
        <row r="150">
          <cell r="A150" t="str">
            <v>GM3030</v>
          </cell>
          <cell r="B150" t="str">
            <v xml:space="preserve">Engate Fixo GM Blazer ate 2000 </v>
          </cell>
        </row>
        <row r="151">
          <cell r="A151" t="str">
            <v>GM3031</v>
          </cell>
          <cell r="B151" t="str">
            <v>Engate Fixo GM Vectra 1999 até 2005</v>
          </cell>
        </row>
        <row r="152">
          <cell r="A152" t="str">
            <v>GM3032</v>
          </cell>
          <cell r="B152" t="str">
            <v>Engate Fixo GM Corsa Hatch 2002 até 2012 (Corsão)</v>
          </cell>
        </row>
        <row r="153">
          <cell r="A153" t="str">
            <v>GM3033</v>
          </cell>
          <cell r="B153" t="str">
            <v xml:space="preserve">Engate Fixo GM Kadett ate 1995 </v>
          </cell>
        </row>
        <row r="154">
          <cell r="A154" t="str">
            <v>GM3034</v>
          </cell>
          <cell r="B154" t="str">
            <v>Engate Fixo GM Agile 2010 até 2013</v>
          </cell>
        </row>
        <row r="155">
          <cell r="A155" t="str">
            <v>GM3035</v>
          </cell>
          <cell r="B155" t="str">
            <v>Engate Fixo GM Captiva 2008 até 2015</v>
          </cell>
        </row>
        <row r="156">
          <cell r="A156" t="str">
            <v>GM3036</v>
          </cell>
          <cell r="B156" t="str">
            <v>Engate Fixo GM Trail Blazer 2013 até 2019</v>
          </cell>
        </row>
        <row r="157">
          <cell r="A157" t="str">
            <v>GM3037</v>
          </cell>
          <cell r="B157" t="str">
            <v>Engate Fixo GM Vectra 2006 até 2011</v>
          </cell>
        </row>
        <row r="158">
          <cell r="A158" t="str">
            <v>GM3038</v>
          </cell>
          <cell r="B158" t="str">
            <v>Engate Fixo GM Corsa Pick-UP 1995 até 2003</v>
          </cell>
        </row>
        <row r="159">
          <cell r="A159" t="str">
            <v>GM3039</v>
          </cell>
          <cell r="B159" t="str">
            <v xml:space="preserve">Engate Fixo GM Corsa Sedan 2002 a 2005 </v>
          </cell>
        </row>
        <row r="160">
          <cell r="A160" t="str">
            <v>GM3040</v>
          </cell>
          <cell r="B160" t="str">
            <v>Engate Fixo GM Chevette Sedan todos</v>
          </cell>
        </row>
        <row r="161">
          <cell r="A161" t="str">
            <v>GM3041</v>
          </cell>
          <cell r="B161" t="str">
            <v xml:space="preserve">Engate Fixo GM Tracker 2010 ate 2013 </v>
          </cell>
        </row>
        <row r="162">
          <cell r="A162" t="str">
            <v>GM3042</v>
          </cell>
          <cell r="B162" t="str">
            <v xml:space="preserve">Engate Fixo GM Blazer 2001 ate 2012 </v>
          </cell>
        </row>
        <row r="163">
          <cell r="A163" t="str">
            <v>GM3043</v>
          </cell>
          <cell r="B163" t="str">
            <v>Engate Fixo GM Corsa Perua 1997 até 2001</v>
          </cell>
        </row>
        <row r="164">
          <cell r="A164" t="str">
            <v>GM3044</v>
          </cell>
          <cell r="B164" t="str">
            <v xml:space="preserve">Engate Fixo Montana 2003 até 2010 </v>
          </cell>
        </row>
        <row r="165">
          <cell r="A165" t="str">
            <v>GM3045</v>
          </cell>
          <cell r="B165" t="str">
            <v>Engate Fixo GM Cruze SEDAN 2017 até 2018</v>
          </cell>
        </row>
        <row r="166">
          <cell r="A166" t="str">
            <v>GM3046</v>
          </cell>
          <cell r="B166" t="str">
            <v>Engate Fixo Cobalt 2012 até 2019</v>
          </cell>
        </row>
        <row r="167">
          <cell r="A167" t="str">
            <v>GM3047</v>
          </cell>
          <cell r="B167" t="str">
            <v>Engate Fixo  GM Agile 2014 até 2016</v>
          </cell>
        </row>
        <row r="168">
          <cell r="A168" t="str">
            <v>GM3048</v>
          </cell>
          <cell r="B168" t="str">
            <v>Engate Fixo GM Cruze Hatch 2017 até 2018</v>
          </cell>
        </row>
        <row r="169">
          <cell r="A169" t="str">
            <v>GM3049</v>
          </cell>
          <cell r="B169" t="str">
            <v>Engate Fixo GM Camaro 2010 a 2013</v>
          </cell>
        </row>
        <row r="170">
          <cell r="A170" t="str">
            <v>GM3050</v>
          </cell>
          <cell r="B170" t="str">
            <v>Engate Fixo GM Kadett 1996 até 1998</v>
          </cell>
        </row>
        <row r="171">
          <cell r="A171" t="str">
            <v>GM3051</v>
          </cell>
          <cell r="B171" t="str">
            <v xml:space="preserve">Engate Fixo GM Ipanema até 1995 </v>
          </cell>
        </row>
        <row r="172">
          <cell r="A172" t="str">
            <v>GM3052</v>
          </cell>
          <cell r="B172" t="str">
            <v>Engate Fixo GM Equinox 2018 até 2019</v>
          </cell>
        </row>
        <row r="173">
          <cell r="A173" t="str">
            <v>GM3053</v>
          </cell>
          <cell r="B173" t="str">
            <v>Engate Fixo Spin LTZ /Activ 2014 até 2020</v>
          </cell>
        </row>
        <row r="174">
          <cell r="A174" t="str">
            <v>GM3054</v>
          </cell>
          <cell r="B174" t="str">
            <v>Engate Fixo GM Vectra GT (Hatch) 2007 até 2011</v>
          </cell>
        </row>
        <row r="175">
          <cell r="A175" t="str">
            <v>GM3056</v>
          </cell>
          <cell r="B175" t="str">
            <v>Engate Fixo GM Captiva 2016 até 2018</v>
          </cell>
        </row>
        <row r="176">
          <cell r="A176" t="str">
            <v>GM3058</v>
          </cell>
          <cell r="B176" t="str">
            <v>Engate Removível GM Tracker 2014 até 2019</v>
          </cell>
        </row>
        <row r="177">
          <cell r="A177" t="str">
            <v>GM3059</v>
          </cell>
          <cell r="B177" t="str">
            <v>Engate Fixo GM Onix Plus 2019/2020</v>
          </cell>
        </row>
        <row r="178">
          <cell r="A178" t="str">
            <v>GM3060</v>
          </cell>
          <cell r="B178" t="str">
            <v>Engate Fixo GM S10 1995 até 2000</v>
          </cell>
        </row>
        <row r="179">
          <cell r="A179" t="str">
            <v>GM3061</v>
          </cell>
          <cell r="B179" t="str">
            <v>Engate Fixo GM Onix LT/LTZ 2020</v>
          </cell>
        </row>
        <row r="180">
          <cell r="A180" t="str">
            <v>GM3062</v>
          </cell>
          <cell r="B180" t="str">
            <v>Engate Fixo GM Tracker 2020 até 2021</v>
          </cell>
        </row>
        <row r="181">
          <cell r="A181" t="str">
            <v>HO1000</v>
          </cell>
          <cell r="B181" t="str">
            <v xml:space="preserve">Engate Fixo Honda New Civic/ Civic 2006 até 2016  </v>
          </cell>
        </row>
        <row r="182">
          <cell r="A182" t="str">
            <v>HO1002</v>
          </cell>
          <cell r="B182" t="str">
            <v>Engate Fixo Honda New Civic 2006 até 2011</v>
          </cell>
        </row>
        <row r="183">
          <cell r="A183" t="str">
            <v>HO1003</v>
          </cell>
          <cell r="B183" t="str">
            <v xml:space="preserve">Engate Fixo Honda Fit 2009 até 2012 </v>
          </cell>
        </row>
        <row r="184">
          <cell r="A184" t="str">
            <v>HO1004</v>
          </cell>
          <cell r="B184" t="str">
            <v xml:space="preserve">Engate Fixo Honda Fit 2003 até 2008 </v>
          </cell>
        </row>
        <row r="185">
          <cell r="A185" t="str">
            <v>HO1005</v>
          </cell>
          <cell r="B185" t="str">
            <v>Engate Fixo Honda Civic 2001 ate 2005</v>
          </cell>
        </row>
        <row r="186">
          <cell r="A186" t="str">
            <v>HO1006</v>
          </cell>
          <cell r="B186" t="str">
            <v>Engate Fixo Honda Fit 2015 até 2017</v>
          </cell>
        </row>
        <row r="187">
          <cell r="A187" t="str">
            <v>HO1007</v>
          </cell>
          <cell r="B187" t="str">
            <v>Engate Fixo Honda CRV 2008 até 2012</v>
          </cell>
        </row>
        <row r="188">
          <cell r="A188" t="str">
            <v>HO1008</v>
          </cell>
          <cell r="B188" t="str">
            <v xml:space="preserve">Engate Fixo Honda Civic 1996 até 2000 </v>
          </cell>
        </row>
        <row r="189">
          <cell r="A189" t="str">
            <v>HO1009</v>
          </cell>
          <cell r="B189" t="str">
            <v xml:space="preserve">Engate Fixo Honda Fit  2013 até 2014 </v>
          </cell>
        </row>
        <row r="190">
          <cell r="A190" t="str">
            <v>HO1010</v>
          </cell>
          <cell r="B190" t="str">
            <v>Engate Fixo Honda City 2009 até 2012</v>
          </cell>
        </row>
        <row r="191">
          <cell r="A191" t="str">
            <v>HO1011</v>
          </cell>
          <cell r="B191" t="str">
            <v>Engate Fixo Honda HRV 2014 até 2018</v>
          </cell>
        </row>
        <row r="192">
          <cell r="A192" t="str">
            <v>HO1012</v>
          </cell>
          <cell r="B192" t="str">
            <v>Engate Fixo Honda City 2015 até 2019</v>
          </cell>
        </row>
        <row r="193">
          <cell r="A193" t="str">
            <v>HO1013</v>
          </cell>
          <cell r="B193" t="str">
            <v>Engate Fixo Honda Civic 2017 até 2018 (G10)</v>
          </cell>
        </row>
        <row r="194">
          <cell r="A194" t="str">
            <v>HO1014</v>
          </cell>
          <cell r="B194" t="str">
            <v>Engate Fixo Honda CRV 2013 até 2017</v>
          </cell>
        </row>
        <row r="195">
          <cell r="A195" t="str">
            <v>HO1015</v>
          </cell>
          <cell r="B195" t="str">
            <v>Engate Fixo Honda Fit 2018 até 2019</v>
          </cell>
        </row>
        <row r="196">
          <cell r="A196" t="str">
            <v>HO1016</v>
          </cell>
          <cell r="B196" t="str">
            <v xml:space="preserve">Engate Fixo Honda WRV 2017 até 2018 </v>
          </cell>
        </row>
        <row r="197">
          <cell r="A197" t="str">
            <v>HO1017</v>
          </cell>
          <cell r="B197" t="str">
            <v>Engate Fixo Honda City 2018 acima</v>
          </cell>
        </row>
        <row r="198">
          <cell r="A198" t="str">
            <v>HO1018</v>
          </cell>
          <cell r="B198" t="str">
            <v>Engate Fixo Honda CRV 2018 até 2019</v>
          </cell>
        </row>
        <row r="199">
          <cell r="A199" t="str">
            <v>HY1000</v>
          </cell>
          <cell r="B199" t="str">
            <v>Engate Fixo Hyundai HB20 Hatch 2012 até 2019</v>
          </cell>
        </row>
        <row r="200">
          <cell r="A200" t="str">
            <v>HY1001</v>
          </cell>
          <cell r="B200" t="str">
            <v>Engate Fixo Hyundai Santa Fé 2006 até 2012</v>
          </cell>
        </row>
        <row r="201">
          <cell r="A201" t="str">
            <v>HY1002</v>
          </cell>
          <cell r="B201" t="str">
            <v>Engate Fixo Tucson 05 até 15/ Sportage 06 até 11</v>
          </cell>
        </row>
        <row r="202">
          <cell r="A202" t="str">
            <v>HY1003</v>
          </cell>
          <cell r="B202" t="str">
            <v>Engate Fixo Hyundai  HB20 Sedan 2013 até 2019</v>
          </cell>
        </row>
        <row r="203">
          <cell r="A203" t="str">
            <v>HY1004</v>
          </cell>
          <cell r="B203" t="str">
            <v>Engate Fixo Hyundai I-30 2009 até 2012</v>
          </cell>
        </row>
        <row r="204">
          <cell r="A204" t="str">
            <v>HY1005</v>
          </cell>
          <cell r="B204" t="str">
            <v>Engate Fixo Hyundai Azera 2005 até 2010</v>
          </cell>
        </row>
        <row r="205">
          <cell r="A205" t="str">
            <v>HY1006</v>
          </cell>
          <cell r="B205" t="str">
            <v xml:space="preserve">Engate Fixo Hyundai  Santa Fé 2013 até 2018 </v>
          </cell>
        </row>
        <row r="206">
          <cell r="A206" t="str">
            <v>HY1007</v>
          </cell>
          <cell r="B206" t="str">
            <v>Engate Fixo Hyundai Sonata 2011 até 2018</v>
          </cell>
        </row>
        <row r="207">
          <cell r="A207" t="str">
            <v>HY1008</v>
          </cell>
          <cell r="B207" t="str">
            <v>Engate Fixo Hyundai IX35 2010 até 2016</v>
          </cell>
        </row>
        <row r="208">
          <cell r="A208" t="str">
            <v>HY1009</v>
          </cell>
          <cell r="B208" t="str">
            <v>Engate Fixo Hyundai I30 2013 até 2017</v>
          </cell>
        </row>
        <row r="209">
          <cell r="A209" t="str">
            <v>HY1010</v>
          </cell>
          <cell r="B209" t="str">
            <v>Engate Fixo Hyundai Vera Cruz 2008 até 2012</v>
          </cell>
        </row>
        <row r="210">
          <cell r="A210" t="str">
            <v>HY1011</v>
          </cell>
          <cell r="B210" t="str">
            <v>Engate Fixo Hyundai Azera 2013 até 2018</v>
          </cell>
        </row>
        <row r="211">
          <cell r="A211" t="str">
            <v>HY1012</v>
          </cell>
          <cell r="B211" t="str">
            <v>Engate Fixo Hyundai Elantra 2011 ate 2016</v>
          </cell>
        </row>
        <row r="212">
          <cell r="A212" t="str">
            <v>HY1013</v>
          </cell>
          <cell r="B212" t="str">
            <v>Engate Fixo Hyundai Creta 2017 até 2020</v>
          </cell>
        </row>
        <row r="213">
          <cell r="A213" t="str">
            <v>HY1014</v>
          </cell>
          <cell r="B213" t="str">
            <v>Engate Fixo Hyundai New Tucson 2017 até 2018</v>
          </cell>
        </row>
        <row r="214">
          <cell r="A214" t="str">
            <v>HY1015</v>
          </cell>
          <cell r="B214" t="str">
            <v xml:space="preserve">Engate Fixo Hyundai WRV 2017 Acima </v>
          </cell>
        </row>
        <row r="215">
          <cell r="A215" t="str">
            <v>HY1016</v>
          </cell>
          <cell r="B215" t="str">
            <v>Engate Fixo Hyundai Elantra 2017 até 2018</v>
          </cell>
        </row>
        <row r="216">
          <cell r="A216" t="str">
            <v>HY1017</v>
          </cell>
          <cell r="B216" t="str">
            <v>Engate Removível  Hyundai Veloster 2012 até 2018</v>
          </cell>
        </row>
        <row r="217">
          <cell r="A217" t="str">
            <v>HY1018</v>
          </cell>
          <cell r="B217" t="str">
            <v>Engate Fixo Hyundai Azera 2011 até 2012</v>
          </cell>
        </row>
        <row r="218">
          <cell r="A218" t="str">
            <v>HY1019</v>
          </cell>
          <cell r="B218" t="str">
            <v>Engate Fixo Hyundai Tucson TURBO 2018 até 2019</v>
          </cell>
        </row>
        <row r="219">
          <cell r="A219" t="str">
            <v>HY1020</v>
          </cell>
          <cell r="B219" t="str">
            <v>Engate Fixo Hyundai HB20 X 2018 até 2019</v>
          </cell>
        </row>
        <row r="220">
          <cell r="A220" t="str">
            <v>HY1021</v>
          </cell>
          <cell r="B220" t="str">
            <v xml:space="preserve">Engate Removível Hyundai Tucson TURBO 2018 </v>
          </cell>
        </row>
        <row r="221">
          <cell r="A221" t="str">
            <v>HY1023</v>
          </cell>
          <cell r="B221" t="str">
            <v>Engate Removível Hyundai Creta 2017 até 2019</v>
          </cell>
        </row>
        <row r="222">
          <cell r="A222" t="str">
            <v>HY1024</v>
          </cell>
          <cell r="B222" t="str">
            <v>Engate Fixo Hyundai HB20 Hatch 2020</v>
          </cell>
        </row>
        <row r="223">
          <cell r="A223" t="str">
            <v>HY1025</v>
          </cell>
          <cell r="B223" t="str">
            <v>Engate Fixo Hyundai  HB20 Sedan 2020</v>
          </cell>
        </row>
        <row r="224">
          <cell r="A224" t="str">
            <v>JC1000</v>
          </cell>
          <cell r="B224" t="str">
            <v>Engate Fixo JAC T40 2018 até 2019</v>
          </cell>
        </row>
        <row r="225">
          <cell r="A225" t="str">
            <v>JC1001</v>
          </cell>
          <cell r="B225" t="str">
            <v>Engate Fixo JAC 3 Hatch 2010 a 2013</v>
          </cell>
        </row>
        <row r="226">
          <cell r="A226" t="str">
            <v>JC1002</v>
          </cell>
          <cell r="B226" t="str">
            <v>Engate Fixo JAC 3 Sedan 2011 a 2015</v>
          </cell>
        </row>
        <row r="227">
          <cell r="A227" t="str">
            <v>JC1003</v>
          </cell>
          <cell r="B227" t="str">
            <v>Engate Fixo Jac J5 2010 até 2016</v>
          </cell>
        </row>
        <row r="228">
          <cell r="A228" t="str">
            <v>JP1000</v>
          </cell>
          <cell r="B228" t="str">
            <v>Engate Fixo Jeep  Renegade 4x2 e 4x4 2016 até 2019</v>
          </cell>
        </row>
        <row r="229">
          <cell r="A229" t="str">
            <v>JP1001</v>
          </cell>
          <cell r="B229" t="str">
            <v>Engate Rem. Jeep Renegede 4x2 e 4x4 2016 até 2019</v>
          </cell>
        </row>
        <row r="230">
          <cell r="A230" t="str">
            <v>JP1002</v>
          </cell>
          <cell r="B230" t="str">
            <v>Engate Fixo Jeep Compass 2017 até 2019</v>
          </cell>
        </row>
        <row r="231">
          <cell r="A231" t="str">
            <v>JP1003</v>
          </cell>
          <cell r="B231" t="str">
            <v xml:space="preserve">Engate Fixo Jeep </v>
          </cell>
        </row>
        <row r="232">
          <cell r="A232" t="str">
            <v>JP1004</v>
          </cell>
          <cell r="B232" t="str">
            <v>Engate Removível Jeep Compass 2017 até 2019</v>
          </cell>
        </row>
        <row r="233">
          <cell r="A233" t="str">
            <v>KI1000</v>
          </cell>
          <cell r="B233" t="str">
            <v>Engate Fixo Kia Sorento 2010 até 2013</v>
          </cell>
        </row>
        <row r="234">
          <cell r="A234" t="str">
            <v>KI1001</v>
          </cell>
          <cell r="B234" t="str">
            <v>Engate Fixo Kia Sportage 2006 até 2011</v>
          </cell>
        </row>
        <row r="235">
          <cell r="A235" t="str">
            <v>KI1002</v>
          </cell>
          <cell r="B235" t="str">
            <v>Engate Fixo Kia Cerato 2010 até 2012</v>
          </cell>
        </row>
        <row r="236">
          <cell r="A236" t="str">
            <v>KI1004</v>
          </cell>
          <cell r="B236" t="str">
            <v>Engate Fixo Kia Sportage 2012 até 2016</v>
          </cell>
        </row>
        <row r="237">
          <cell r="A237" t="str">
            <v>KI1005</v>
          </cell>
          <cell r="B237" t="str">
            <v>Engate Fixo Kia Soul 2009 até 2011</v>
          </cell>
        </row>
        <row r="238">
          <cell r="A238" t="str">
            <v>KI1006</v>
          </cell>
          <cell r="B238" t="str">
            <v xml:space="preserve">Engate Fixo Kia Cerato 2013 até 2018 </v>
          </cell>
        </row>
        <row r="239">
          <cell r="A239" t="str">
            <v>KI1007</v>
          </cell>
          <cell r="B239" t="str">
            <v>Engate Fixo KIA Picanto 2013 a 2016</v>
          </cell>
        </row>
        <row r="240">
          <cell r="A240" t="str">
            <v>KI1008</v>
          </cell>
          <cell r="B240" t="str">
            <v>Engate Fixo KIA Soul 2015 até 2016</v>
          </cell>
        </row>
        <row r="241">
          <cell r="A241" t="str">
            <v>KI1009</v>
          </cell>
          <cell r="B241" t="str">
            <v>Engate Fixo Kia Sorento 2010 até 2011</v>
          </cell>
        </row>
        <row r="242">
          <cell r="A242" t="str">
            <v>KI1010</v>
          </cell>
          <cell r="B242" t="str">
            <v>Engate Fixo Kia Sorento 2017 até 2018</v>
          </cell>
        </row>
        <row r="243">
          <cell r="A243" t="str">
            <v>KI1011</v>
          </cell>
          <cell r="B243" t="str">
            <v xml:space="preserve">Engate Fixo Kia Sportage 17 até 2018 </v>
          </cell>
        </row>
        <row r="244">
          <cell r="A244" t="str">
            <v>KI1012</v>
          </cell>
          <cell r="B244" t="str">
            <v>Engate Fixo Kia Picanto 2008 até 2011</v>
          </cell>
        </row>
        <row r="245">
          <cell r="A245" t="str">
            <v>KI1013</v>
          </cell>
          <cell r="B245" t="str">
            <v>Engate Fixo Kia Cerato 2020 até 2021</v>
          </cell>
        </row>
        <row r="246">
          <cell r="A246" t="str">
            <v>LI1000</v>
          </cell>
          <cell r="B246" t="str">
            <v>Engate Removível Lifan X60 Até 2016</v>
          </cell>
        </row>
        <row r="247">
          <cell r="A247" t="str">
            <v>LR1000</v>
          </cell>
          <cell r="B247" t="str">
            <v>Engate Removivel Land Rover Evoque</v>
          </cell>
        </row>
        <row r="248">
          <cell r="A248" t="str">
            <v>LR1001</v>
          </cell>
          <cell r="B248" t="str">
            <v>Engate Removivel Land Rover Discovery</v>
          </cell>
        </row>
        <row r="249">
          <cell r="A249" t="str">
            <v>LR1002</v>
          </cell>
          <cell r="B249" t="str">
            <v>Engate Removível Land Rover Vogue 2013 até 2018</v>
          </cell>
        </row>
        <row r="250">
          <cell r="A250" t="str">
            <v>ME1000</v>
          </cell>
          <cell r="B250" t="str">
            <v>Engate Fixo Mercedes Sprinter S/Estribo 13 até 18</v>
          </cell>
        </row>
        <row r="251">
          <cell r="A251" t="str">
            <v>ME1001</v>
          </cell>
          <cell r="B251" t="str">
            <v>Engate Removivel Merc. SprinterS/Estribo/13</v>
          </cell>
        </row>
        <row r="252">
          <cell r="A252" t="str">
            <v>ME1002</v>
          </cell>
          <cell r="B252" t="str">
            <v>Engate Fixo Mercedes Sprinter S/Stribo 08 até 12</v>
          </cell>
        </row>
        <row r="253">
          <cell r="A253" t="str">
            <v>ME1003</v>
          </cell>
          <cell r="B253" t="str">
            <v>Engate Removivel Merc. Sprinter C/Stribo/13</v>
          </cell>
        </row>
        <row r="254">
          <cell r="A254" t="str">
            <v>ME1004</v>
          </cell>
          <cell r="B254" t="str">
            <v>Engate Fixo Mercedes Classe A 1999 até 2006</v>
          </cell>
        </row>
        <row r="255">
          <cell r="A255" t="str">
            <v>ME1005</v>
          </cell>
          <cell r="B255" t="str">
            <v>Engate Fixo Mercedes Vito 2015 até 2016</v>
          </cell>
        </row>
        <row r="256">
          <cell r="A256" t="str">
            <v>ME1006</v>
          </cell>
          <cell r="B256" t="str">
            <v>Engate Fixo Mercedes CLA 200 2018/2019</v>
          </cell>
        </row>
        <row r="257">
          <cell r="A257" t="str">
            <v>ME1007</v>
          </cell>
          <cell r="B257" t="str">
            <v>Engate Fixo Mercedes C180 2018/2019</v>
          </cell>
        </row>
        <row r="258">
          <cell r="A258" t="str">
            <v>MI1000</v>
          </cell>
          <cell r="B258" t="str">
            <v xml:space="preserve">Engate Fixo Mitsub. Pajero Sport 2004 até 2010 </v>
          </cell>
        </row>
        <row r="259">
          <cell r="A259" t="str">
            <v>MI1001</v>
          </cell>
          <cell r="B259" t="str">
            <v>Engate Fixo Mitsub. Outlander 2006 ate 2013</v>
          </cell>
        </row>
        <row r="260">
          <cell r="A260" t="str">
            <v>MI1002</v>
          </cell>
          <cell r="B260" t="str">
            <v xml:space="preserve">Engate Removivel L200 4 Furos/ Pajero Antiga </v>
          </cell>
        </row>
        <row r="261">
          <cell r="A261" t="str">
            <v>MI1003</v>
          </cell>
          <cell r="B261" t="str">
            <v xml:space="preserve">Engate Fixo Mitsub. L-200 /2004 Acima Sport </v>
          </cell>
        </row>
        <row r="262">
          <cell r="A262" t="str">
            <v>MI1004</v>
          </cell>
          <cell r="B262" t="str">
            <v xml:space="preserve">Engate Fixo Mitsub. L-200 Modelo Pajero </v>
          </cell>
        </row>
        <row r="263">
          <cell r="A263" t="str">
            <v>MI1004A</v>
          </cell>
          <cell r="B263" t="str">
            <v>Engate Rem. Mitsub. L200 Triton 08 até 18(6 furos)</v>
          </cell>
        </row>
        <row r="264">
          <cell r="A264" t="str">
            <v>MI1005</v>
          </cell>
          <cell r="B264" t="str">
            <v>Engate Fixo Mitsub. Asx 2007 até  2017</v>
          </cell>
        </row>
        <row r="265">
          <cell r="A265" t="str">
            <v>MI1006</v>
          </cell>
          <cell r="B265" t="str">
            <v xml:space="preserve">Engate Fixo Mitsub. Pajero TR4 1999 até 2009 </v>
          </cell>
        </row>
        <row r="266">
          <cell r="A266" t="str">
            <v>MI1007</v>
          </cell>
          <cell r="B266" t="str">
            <v>Engate Removivel Mitsub. Pajero Full 2000 até 2017</v>
          </cell>
        </row>
        <row r="267">
          <cell r="A267" t="str">
            <v>MI1008</v>
          </cell>
          <cell r="B267" t="str">
            <v>Engate Removivel Mitsub. Outlander 2010 até 2013</v>
          </cell>
        </row>
        <row r="268">
          <cell r="A268" t="str">
            <v>MI1009</v>
          </cell>
          <cell r="B268" t="str">
            <v>Engate Fixo Mitsub. Pajero TR4 2010 até 2015</v>
          </cell>
        </row>
        <row r="269">
          <cell r="A269" t="str">
            <v>MI1010</v>
          </cell>
          <cell r="B269" t="str">
            <v xml:space="preserve">Engate Fixo Mitsub. Sport Dest. ate 2010 </v>
          </cell>
        </row>
        <row r="270">
          <cell r="A270" t="str">
            <v>MI1011</v>
          </cell>
          <cell r="B270" t="str">
            <v>Engate Removivel Mitsub.Pajero Dakar 2011 até 2017</v>
          </cell>
        </row>
        <row r="271">
          <cell r="A271" t="str">
            <v>MI1012</v>
          </cell>
          <cell r="B271" t="str">
            <v>Engate Removivel Mit. L-200 Triton Outdoor 16/18</v>
          </cell>
        </row>
        <row r="272">
          <cell r="A272" t="str">
            <v>MI1013</v>
          </cell>
          <cell r="B272" t="str">
            <v>Engate Fixo L200 Triton 2008 até 2018</v>
          </cell>
        </row>
        <row r="273">
          <cell r="A273" t="str">
            <v>MI1014</v>
          </cell>
          <cell r="B273" t="str">
            <v>Engate Removivel Mit. L-200 Triton Sport 17 até 18</v>
          </cell>
        </row>
        <row r="274">
          <cell r="A274" t="str">
            <v>MI1015</v>
          </cell>
          <cell r="B274" t="str">
            <v>Engate Fixo Mitsub. Lancer 12 até 19(Exceto Evo)</v>
          </cell>
        </row>
        <row r="275">
          <cell r="A275" t="str">
            <v>MI1016</v>
          </cell>
          <cell r="B275" t="str">
            <v>Engate Fixo Mitsubshi L200 Triton</v>
          </cell>
        </row>
        <row r="276">
          <cell r="A276" t="str">
            <v>MI1017</v>
          </cell>
          <cell r="B276" t="str">
            <v>Engate fixo Pajero Sport 2020</v>
          </cell>
        </row>
        <row r="277">
          <cell r="A277" t="str">
            <v>MI1018</v>
          </cell>
          <cell r="B277" t="str">
            <v>Engate Removível Pajero Sport 2020</v>
          </cell>
        </row>
        <row r="278">
          <cell r="A278" t="str">
            <v>MI1019</v>
          </cell>
          <cell r="B278" t="str">
            <v>Engate Fixo L200 Sport 2020/2021</v>
          </cell>
        </row>
        <row r="279">
          <cell r="A279" t="str">
            <v>MI1020</v>
          </cell>
          <cell r="B279" t="str">
            <v>Engate Removível L200 Sport</v>
          </cell>
        </row>
        <row r="280">
          <cell r="A280" t="str">
            <v>NI1000</v>
          </cell>
          <cell r="B280" t="str">
            <v>Engate Fixo Nissan Sentra 2014 até 2018</v>
          </cell>
        </row>
        <row r="281">
          <cell r="A281" t="str">
            <v>NI1001</v>
          </cell>
          <cell r="B281" t="str">
            <v xml:space="preserve">Engate Fixo Nissan Frontier Sel 2008 até 2016 </v>
          </cell>
        </row>
        <row r="282">
          <cell r="A282" t="str">
            <v>NI1002</v>
          </cell>
          <cell r="B282" t="str">
            <v>Engate Removivel Nissan Frontier Sel 2008 até 2016</v>
          </cell>
        </row>
        <row r="283">
          <cell r="A283" t="str">
            <v>NI1003</v>
          </cell>
          <cell r="B283" t="str">
            <v>Engate Fixo Nissan March 2011 até 2014</v>
          </cell>
        </row>
        <row r="284">
          <cell r="A284" t="str">
            <v>NI1004</v>
          </cell>
          <cell r="B284" t="str">
            <v>Engate Fixo Nissan Tiida Sedan 2004 até 2012</v>
          </cell>
        </row>
        <row r="285">
          <cell r="A285" t="str">
            <v>NI1005</v>
          </cell>
          <cell r="B285" t="str">
            <v>Engate Fixo Nissan Versa Sl 2011 até 2019</v>
          </cell>
        </row>
        <row r="286">
          <cell r="A286" t="str">
            <v>NI1006</v>
          </cell>
          <cell r="B286" t="str">
            <v xml:space="preserve">Engate Fixo Nissan Tiida hatch 2004 até 2011 </v>
          </cell>
        </row>
        <row r="287">
          <cell r="A287" t="str">
            <v>NI1007</v>
          </cell>
          <cell r="B287" t="str">
            <v>Engate Fixo Nissan Grand Livina 2011 até 2014</v>
          </cell>
        </row>
        <row r="288">
          <cell r="A288" t="str">
            <v>NI1008</v>
          </cell>
          <cell r="B288" t="str">
            <v xml:space="preserve">Engate Fixo Nissan Sentra 2007 até 2013 </v>
          </cell>
        </row>
        <row r="289">
          <cell r="A289" t="str">
            <v>NI1009</v>
          </cell>
          <cell r="B289" t="str">
            <v>Engate Fixo Nissan Kicks 2017 até 2019</v>
          </cell>
        </row>
        <row r="290">
          <cell r="A290" t="str">
            <v>NI1010</v>
          </cell>
          <cell r="B290" t="str">
            <v>Engate Fixo Nissan Frontier 2017 até 2018</v>
          </cell>
        </row>
        <row r="291">
          <cell r="A291" t="str">
            <v>NI1012</v>
          </cell>
          <cell r="B291" t="str">
            <v>Engate Removivel Nissan Frontier 2017 até 2018</v>
          </cell>
        </row>
        <row r="292">
          <cell r="A292" t="str">
            <v>NI1013</v>
          </cell>
          <cell r="B292" t="str">
            <v>DESATIVADO</v>
          </cell>
        </row>
        <row r="293">
          <cell r="A293" t="str">
            <v>NI1014</v>
          </cell>
          <cell r="B293" t="str">
            <v xml:space="preserve">Engate Removível Nissan Navarra 2017 Acima </v>
          </cell>
        </row>
        <row r="294">
          <cell r="A294" t="str">
            <v>NI1015</v>
          </cell>
          <cell r="B294" t="str">
            <v>Engate Fixo Nissan Livina 2009 até 2014</v>
          </cell>
        </row>
        <row r="295">
          <cell r="A295" t="str">
            <v>NI1016</v>
          </cell>
          <cell r="B295" t="str">
            <v>Engate Fixo Nissan March 2014 até 2018</v>
          </cell>
        </row>
        <row r="296">
          <cell r="A296" t="str">
            <v>NI1017</v>
          </cell>
          <cell r="B296" t="str">
            <v>Engate Fixo Nissan Tiida hatch 2008 até 2013</v>
          </cell>
        </row>
        <row r="297">
          <cell r="A297" t="str">
            <v>NI1018</v>
          </cell>
          <cell r="B297" t="str">
            <v xml:space="preserve">Engate Fixo Nissan Xterra </v>
          </cell>
        </row>
        <row r="298">
          <cell r="A298" t="str">
            <v>NI1019</v>
          </cell>
          <cell r="B298" t="str">
            <v>Engate Removível Nissan Kicks 2017 até 2019</v>
          </cell>
        </row>
        <row r="299">
          <cell r="A299" t="str">
            <v>NI1020</v>
          </cell>
          <cell r="B299" t="str">
            <v>Engate Fixo Nissan Frontier 2002 até 2007</v>
          </cell>
        </row>
        <row r="300">
          <cell r="A300" t="str">
            <v>PE1000</v>
          </cell>
          <cell r="B300" t="str">
            <v>Engate Fixo Peugeot 206 Hatch todos</v>
          </cell>
        </row>
        <row r="301">
          <cell r="A301" t="str">
            <v>PE1001</v>
          </cell>
          <cell r="B301" t="str">
            <v>Engate Fixo Peugeot 3008 2009 até 2017</v>
          </cell>
        </row>
        <row r="302">
          <cell r="A302" t="str">
            <v>PE1002</v>
          </cell>
          <cell r="B302" t="str">
            <v>Engate Fixo Peugeot 208 Hatch</v>
          </cell>
        </row>
        <row r="303">
          <cell r="A303" t="str">
            <v>PE1003</v>
          </cell>
          <cell r="B303" t="str">
            <v xml:space="preserve">Engate Fixo Peugeot 308 Hatch </v>
          </cell>
        </row>
        <row r="304">
          <cell r="A304" t="str">
            <v>PE1004</v>
          </cell>
          <cell r="B304" t="str">
            <v>Engate Fixo Peugeot 307 Sedan 2001 até 2011</v>
          </cell>
        </row>
        <row r="305">
          <cell r="A305" t="str">
            <v>PE1005</v>
          </cell>
          <cell r="B305" t="str">
            <v xml:space="preserve">Engate Fixo Peugeot 307 Hatch </v>
          </cell>
        </row>
        <row r="306">
          <cell r="A306" t="str">
            <v>PE1006</v>
          </cell>
          <cell r="B306" t="str">
            <v>Engate Fixo Peugeot 206 SW / 207 SW / Sedan</v>
          </cell>
        </row>
        <row r="307">
          <cell r="A307" t="str">
            <v>PE1007</v>
          </cell>
          <cell r="B307" t="str">
            <v xml:space="preserve">Engate Fixo Peugeot 207 Hatch 2008 até 2018 </v>
          </cell>
        </row>
        <row r="308">
          <cell r="A308" t="str">
            <v>PE1008</v>
          </cell>
          <cell r="B308" t="str">
            <v xml:space="preserve">Engate Fixo Peugeot 407 Sedan 08 Acima </v>
          </cell>
        </row>
        <row r="309">
          <cell r="A309" t="str">
            <v>PE1009</v>
          </cell>
          <cell r="B309" t="str">
            <v xml:space="preserve">Engate Fixo Peugeot Hoggar Escapade </v>
          </cell>
        </row>
        <row r="310">
          <cell r="A310" t="str">
            <v>PE1010</v>
          </cell>
          <cell r="B310" t="str">
            <v xml:space="preserve">Engate Fixo Peugeot 106 Hatch </v>
          </cell>
        </row>
        <row r="311">
          <cell r="A311" t="str">
            <v>PE1011</v>
          </cell>
          <cell r="B311" t="str">
            <v>Engate Fixo Peugeot 2008 ano 2015 até 2020</v>
          </cell>
        </row>
        <row r="312">
          <cell r="A312" t="str">
            <v>PE1012</v>
          </cell>
          <cell r="B312" t="str">
            <v xml:space="preserve">Engate Fixo Peugeot 207 SW </v>
          </cell>
        </row>
        <row r="313">
          <cell r="A313" t="str">
            <v>PE1013</v>
          </cell>
          <cell r="B313" t="str">
            <v>Engate Fixo Peugeot 206 SW /207 Sedan Pass</v>
          </cell>
        </row>
        <row r="314">
          <cell r="A314" t="str">
            <v>PE1014</v>
          </cell>
          <cell r="B314" t="str">
            <v xml:space="preserve">Engate Fixo Peugeot 206 Rally Hatch </v>
          </cell>
        </row>
        <row r="315">
          <cell r="A315" t="str">
            <v>PE1015</v>
          </cell>
          <cell r="B315" t="str">
            <v>Engate Fixo Peugeot 408 ano 2016 acima</v>
          </cell>
        </row>
        <row r="316">
          <cell r="A316" t="str">
            <v>PE1016</v>
          </cell>
          <cell r="B316" t="str">
            <v>Engate Fixo Peugeot 208 Hatch Todos</v>
          </cell>
        </row>
        <row r="317">
          <cell r="A317" t="str">
            <v>PE1017</v>
          </cell>
          <cell r="B317" t="str">
            <v xml:space="preserve">Engate Fixo Peugeot 408 ano 2011 até 2016 </v>
          </cell>
        </row>
        <row r="318">
          <cell r="A318" t="str">
            <v>PE1018</v>
          </cell>
          <cell r="B318" t="str">
            <v>Engate Fixo PEUGEOT Expert Furgão</v>
          </cell>
        </row>
        <row r="319">
          <cell r="A319" t="str">
            <v>PE1019</v>
          </cell>
          <cell r="B319" t="str">
            <v>Engate Fixo Peugeot Boxer/Citroen Jumper/Ducato</v>
          </cell>
        </row>
        <row r="320">
          <cell r="A320" t="str">
            <v>PE1020</v>
          </cell>
          <cell r="B320" t="str">
            <v>Engate Fixo Peugeot 3008 2017 acima</v>
          </cell>
        </row>
        <row r="321">
          <cell r="A321" t="str">
            <v>PE1021</v>
          </cell>
          <cell r="B321" t="str">
            <v xml:space="preserve">Engate Fixo Peugeot 307 SW </v>
          </cell>
        </row>
        <row r="322">
          <cell r="A322" t="str">
            <v>PO1000</v>
          </cell>
          <cell r="B322" t="str">
            <v>Engate Removível Porshe Cayenne 2011 até 2014</v>
          </cell>
        </row>
        <row r="323">
          <cell r="A323" t="str">
            <v>RE1000</v>
          </cell>
          <cell r="B323" t="str">
            <v>Engate Fixo Renault Duster 4X2 /4x4 2010 até 2019</v>
          </cell>
        </row>
        <row r="324">
          <cell r="A324" t="str">
            <v>RE1002</v>
          </cell>
          <cell r="B324" t="str">
            <v xml:space="preserve">Engate Fixo Sandero Stepw até 14 / Gt Line até 14 </v>
          </cell>
        </row>
        <row r="325">
          <cell r="A325" t="str">
            <v>RE1003a</v>
          </cell>
          <cell r="B325" t="str">
            <v>Engate Fixo Renault Logan 2013 até 2020</v>
          </cell>
        </row>
        <row r="326">
          <cell r="A326" t="str">
            <v>RE1004</v>
          </cell>
          <cell r="B326" t="str">
            <v xml:space="preserve">Engate Fixo Renault Logan 2008 Até 2012 </v>
          </cell>
        </row>
        <row r="327">
          <cell r="A327" t="str">
            <v>RE1005</v>
          </cell>
          <cell r="B327" t="str">
            <v xml:space="preserve">Engate Fixo Renault Sandero/Stepway 2008 até 2013 </v>
          </cell>
        </row>
        <row r="328">
          <cell r="A328" t="str">
            <v>RE1006</v>
          </cell>
          <cell r="B328" t="str">
            <v>Engate Fixo Renault Sandero/Stepway 2015 até 2020</v>
          </cell>
        </row>
        <row r="329">
          <cell r="A329" t="str">
            <v>RE1007</v>
          </cell>
          <cell r="B329" t="str">
            <v>Engate Fixo Renault Symbol 2009 até 2013</v>
          </cell>
        </row>
        <row r="330">
          <cell r="A330" t="str">
            <v>RE1008</v>
          </cell>
          <cell r="B330" t="str">
            <v>Engate Fixo Renault Megane Sedan X-Treme/10</v>
          </cell>
        </row>
        <row r="331">
          <cell r="A331" t="str">
            <v>RE1009</v>
          </cell>
          <cell r="B331" t="str">
            <v xml:space="preserve">Engate Removivel Renault Clio 1999 Acima </v>
          </cell>
        </row>
        <row r="332">
          <cell r="A332" t="str">
            <v>RE1012</v>
          </cell>
          <cell r="B332" t="str">
            <v>Engate Fixo Renault Clio hatch 1999 até 2016</v>
          </cell>
        </row>
        <row r="333">
          <cell r="A333" t="str">
            <v>RE1013</v>
          </cell>
          <cell r="B333" t="str">
            <v>Engate Fixo Renault Scenic 2001 até 2011</v>
          </cell>
        </row>
        <row r="334">
          <cell r="A334" t="str">
            <v>RE1014</v>
          </cell>
          <cell r="B334" t="str">
            <v xml:space="preserve">Engate Fixo Renault Duster 4x4 </v>
          </cell>
        </row>
        <row r="335">
          <cell r="A335" t="str">
            <v>RE1015</v>
          </cell>
          <cell r="B335" t="str">
            <v>Engate Fixo Renault Master 2014 até 2015</v>
          </cell>
        </row>
        <row r="336">
          <cell r="A336" t="str">
            <v>RE1016</v>
          </cell>
          <cell r="B336" t="str">
            <v>Engate Removivel Renault Duster 4x2/4x4  17 até 19</v>
          </cell>
        </row>
        <row r="337">
          <cell r="A337" t="str">
            <v>RE1017</v>
          </cell>
          <cell r="B337" t="str">
            <v>Engate Fixo Renault Megane GrandTour XTR 10 até 12</v>
          </cell>
        </row>
        <row r="338">
          <cell r="A338" t="str">
            <v>RE1018</v>
          </cell>
          <cell r="B338" t="str">
            <v>Engate Fixo Renault Clio Sedan 2005 até 2009</v>
          </cell>
        </row>
        <row r="339">
          <cell r="A339" t="str">
            <v>RE1019</v>
          </cell>
          <cell r="B339" t="str">
            <v xml:space="preserve">Engate Fixo Renault Fluence 10 até 17 (Exceto GT) </v>
          </cell>
        </row>
        <row r="340">
          <cell r="A340" t="str">
            <v>RE1020</v>
          </cell>
          <cell r="B340" t="str">
            <v xml:space="preserve">Engate Fixo Renault  Sandero Stepway 2015 </v>
          </cell>
        </row>
        <row r="341">
          <cell r="A341" t="str">
            <v>RE1021</v>
          </cell>
          <cell r="B341" t="str">
            <v>Engate Fixo Renault Kangoo 2015 até 2018</v>
          </cell>
        </row>
        <row r="342">
          <cell r="A342" t="str">
            <v>RE1022</v>
          </cell>
          <cell r="B342" t="str">
            <v>Engate Fixo Renault Megane Sedan 2004 até 2011</v>
          </cell>
        </row>
        <row r="343">
          <cell r="A343" t="str">
            <v>RE1024</v>
          </cell>
          <cell r="B343" t="str">
            <v>Engate Removivel Renaut Duster 4x2</v>
          </cell>
        </row>
        <row r="344">
          <cell r="A344" t="str">
            <v>RE1025</v>
          </cell>
          <cell r="B344" t="str">
            <v xml:space="preserve">Engate Fixo Renault Master até 2013 </v>
          </cell>
        </row>
        <row r="345">
          <cell r="A345" t="str">
            <v>RE1026</v>
          </cell>
          <cell r="B345" t="str">
            <v xml:space="preserve">Engate Fixo Renault Fluence GT </v>
          </cell>
        </row>
        <row r="346">
          <cell r="A346" t="str">
            <v>RE1027</v>
          </cell>
          <cell r="B346" t="str">
            <v>Engate Fixo Renault Oroch 2015 até 2020</v>
          </cell>
        </row>
        <row r="347">
          <cell r="A347" t="str">
            <v>RE1028</v>
          </cell>
          <cell r="B347" t="str">
            <v xml:space="preserve">Engate Fixo Renault KWID 2017 até 2018 </v>
          </cell>
        </row>
        <row r="348">
          <cell r="A348" t="str">
            <v>RE1029</v>
          </cell>
          <cell r="B348" t="str">
            <v>Engate Fixo Renault Captur 2017 até 2018</v>
          </cell>
        </row>
        <row r="349">
          <cell r="A349" t="str">
            <v>RE1030</v>
          </cell>
          <cell r="B349" t="str">
            <v>Engate Fixo Renault Megane Sedan 95 a 2002</v>
          </cell>
        </row>
        <row r="350">
          <cell r="A350" t="str">
            <v>RE1031</v>
          </cell>
          <cell r="B350" t="str">
            <v xml:space="preserve">Engate Fixo Renault Megane 2006 </v>
          </cell>
        </row>
        <row r="351">
          <cell r="A351" t="str">
            <v>RE1032</v>
          </cell>
          <cell r="B351" t="str">
            <v>Engate Fixo Renault Megane 1998 a 2006</v>
          </cell>
        </row>
        <row r="352">
          <cell r="A352" t="str">
            <v>RE1033</v>
          </cell>
          <cell r="B352" t="str">
            <v xml:space="preserve">Engate Fixo Renault Kangoo 2016 </v>
          </cell>
        </row>
        <row r="353">
          <cell r="A353" t="str">
            <v>RE1034</v>
          </cell>
          <cell r="B353" t="str">
            <v>Engate Fixo Renault Master 2016 até 2018</v>
          </cell>
        </row>
        <row r="354">
          <cell r="A354" t="str">
            <v>RE1035</v>
          </cell>
          <cell r="B354" t="str">
            <v>Engate Removível Renault Captur/Duster 17 até 2021</v>
          </cell>
        </row>
        <row r="355">
          <cell r="A355" t="str">
            <v>RE1036</v>
          </cell>
          <cell r="B355" t="str">
            <v>Engate Removível Renault Oroch 2015 até 2020</v>
          </cell>
        </row>
        <row r="356">
          <cell r="A356" t="str">
            <v>SZ1000</v>
          </cell>
          <cell r="B356" t="str">
            <v>Engte Fixo Suzuki Grand Vitara 2006 até 2015</v>
          </cell>
        </row>
        <row r="357">
          <cell r="A357" t="str">
            <v>SZ1001</v>
          </cell>
          <cell r="B357" t="str">
            <v>Engte Fixo Suzuki Vitara TURBO 2016 até 2018</v>
          </cell>
        </row>
        <row r="358">
          <cell r="A358" t="str">
            <v>SZ1002</v>
          </cell>
          <cell r="B358" t="str">
            <v>Engte Removível Suzuki Jimmy 2009 até 2013</v>
          </cell>
        </row>
        <row r="359">
          <cell r="A359" t="str">
            <v>TO1000</v>
          </cell>
          <cell r="B359" t="str">
            <v>Engate Fixo Toyota Hilux Pick-UP 2005 até 2019</v>
          </cell>
        </row>
        <row r="360">
          <cell r="A360" t="str">
            <v>TO1001</v>
          </cell>
          <cell r="B360" t="str">
            <v>Engate Fixo Toyota Corolla 2002 até 2007</v>
          </cell>
        </row>
        <row r="361">
          <cell r="A361" t="str">
            <v>TO1002</v>
          </cell>
          <cell r="B361" t="str">
            <v>Engate Fixo Toyota Hilux SW4 2005 Acima BRUCKE</v>
          </cell>
        </row>
        <row r="362">
          <cell r="A362" t="str">
            <v>TO1003</v>
          </cell>
          <cell r="B362" t="str">
            <v xml:space="preserve">Engate Fixo Toyota Corolla 2008 até 2013 </v>
          </cell>
        </row>
        <row r="363">
          <cell r="A363" t="str">
            <v>TO1004</v>
          </cell>
          <cell r="B363" t="str">
            <v>Engate Fixo Toyota Etios Sedan 2013 até 2019</v>
          </cell>
        </row>
        <row r="364">
          <cell r="A364" t="str">
            <v>TO1005</v>
          </cell>
          <cell r="B364" t="str">
            <v>Engate Fixo Toyota Corolla 2014 até 2019</v>
          </cell>
        </row>
        <row r="365">
          <cell r="A365" t="str">
            <v>TO1006</v>
          </cell>
          <cell r="B365" t="str">
            <v xml:space="preserve">Engate Removivel Toyota Hillux SW/4 2005 até 2019 </v>
          </cell>
        </row>
        <row r="366">
          <cell r="A366" t="str">
            <v>TO1007</v>
          </cell>
          <cell r="B366" t="str">
            <v>Engate Removivel Toyota Hilux Pick-UP 05 até 19</v>
          </cell>
        </row>
        <row r="367">
          <cell r="A367" t="str">
            <v>TO1008</v>
          </cell>
          <cell r="B367" t="str">
            <v>Engate Fixo Toyota Etios Hatch 2013 até 2018</v>
          </cell>
        </row>
        <row r="368">
          <cell r="A368" t="str">
            <v>TO1009</v>
          </cell>
          <cell r="B368" t="str">
            <v>Engate Fixo Toyota Rav4 2013 até 2017</v>
          </cell>
        </row>
        <row r="369">
          <cell r="A369" t="str">
            <v>TO1010</v>
          </cell>
          <cell r="B369" t="str">
            <v xml:space="preserve">Engate Removivel Toyota Rav4 2013 Acima </v>
          </cell>
        </row>
        <row r="370">
          <cell r="A370" t="str">
            <v>TO1011</v>
          </cell>
          <cell r="B370" t="str">
            <v>Engate Fixo Toyota Corolla XRS 2012 até 2014</v>
          </cell>
        </row>
        <row r="371">
          <cell r="A371" t="str">
            <v>TO1012</v>
          </cell>
          <cell r="B371" t="str">
            <v xml:space="preserve">Engate Fixo Toyota Hilux / Caminhonete 2016 </v>
          </cell>
        </row>
        <row r="372">
          <cell r="A372" t="str">
            <v>TO1013</v>
          </cell>
          <cell r="B372" t="str">
            <v>Engate Removivel Toyota Hillux 2016 Acima</v>
          </cell>
        </row>
        <row r="373">
          <cell r="A373" t="str">
            <v>TO1014</v>
          </cell>
          <cell r="B373" t="str">
            <v xml:space="preserve">Engate Fixo Toyota Hilux SW/4 2005 até 2019 </v>
          </cell>
        </row>
        <row r="374">
          <cell r="A374" t="str">
            <v>TO1015</v>
          </cell>
          <cell r="B374" t="str">
            <v>Engate Fixo Toyota Corolla Fielder 2004 até 2008</v>
          </cell>
        </row>
        <row r="375">
          <cell r="A375" t="str">
            <v>TO1016</v>
          </cell>
          <cell r="B375" t="str">
            <v xml:space="preserve">Engate Removível Toyota SW/4  2016 </v>
          </cell>
        </row>
        <row r="376">
          <cell r="A376" t="str">
            <v>TO1017</v>
          </cell>
          <cell r="B376" t="str">
            <v>Engate Fixo Toyota RAV/4 2008 até 2012</v>
          </cell>
        </row>
        <row r="377">
          <cell r="A377" t="str">
            <v>TO1018</v>
          </cell>
          <cell r="B377" t="str">
            <v>Engate Fixo Toyota Corolla 1999 até 2001</v>
          </cell>
        </row>
        <row r="378">
          <cell r="A378" t="str">
            <v>TO1020</v>
          </cell>
          <cell r="B378" t="str">
            <v>Engate Fixo Toyota Corolla XRS 2017 acima</v>
          </cell>
        </row>
        <row r="379">
          <cell r="A379" t="str">
            <v>TO1021</v>
          </cell>
          <cell r="B379" t="str">
            <v>Engate Fixo Toyota Yaris Hatch 2017 até 2018</v>
          </cell>
        </row>
        <row r="380">
          <cell r="A380" t="str">
            <v>TO1022</v>
          </cell>
          <cell r="B380" t="str">
            <v>Engate Fixo Toyota Prius 2017 até 2018</v>
          </cell>
        </row>
        <row r="381">
          <cell r="A381" t="str">
            <v>TO1023</v>
          </cell>
          <cell r="B381" t="str">
            <v>Engate Fixo Toyota Yaris Sedan 2017 até 2018</v>
          </cell>
        </row>
        <row r="382">
          <cell r="A382" t="str">
            <v>TO1024</v>
          </cell>
          <cell r="B382" t="str">
            <v>Engate Fixo Toyota Corolla 2020</v>
          </cell>
        </row>
        <row r="383">
          <cell r="A383" t="str">
            <v>TO1025</v>
          </cell>
          <cell r="B383" t="str">
            <v>Engate Fixo Toyota Hillux Pick´-up 1992 até 2004</v>
          </cell>
        </row>
        <row r="384">
          <cell r="A384" t="str">
            <v>TO1026</v>
          </cell>
          <cell r="B384" t="str">
            <v>Engate Fixo Toyota RAV4 2019/ 2020</v>
          </cell>
        </row>
        <row r="385">
          <cell r="A385" t="str">
            <v>TO1027</v>
          </cell>
          <cell r="B385" t="str">
            <v>Engate Fixo Toyota Hillux SW/4 94 até 99</v>
          </cell>
        </row>
        <row r="386">
          <cell r="A386" t="str">
            <v>VO1000</v>
          </cell>
          <cell r="B386" t="str">
            <v>Engate Removivel Volvo XC60 2015 até 2018</v>
          </cell>
        </row>
        <row r="387">
          <cell r="A387" t="str">
            <v>VW5000</v>
          </cell>
          <cell r="B387" t="str">
            <v>Engate Fixo VW Gol G3/G4</v>
          </cell>
        </row>
        <row r="388">
          <cell r="A388" t="str">
            <v>VW5001</v>
          </cell>
          <cell r="B388" t="str">
            <v>Engate Fixo VW Gol G5/G6/G7</v>
          </cell>
        </row>
        <row r="389">
          <cell r="A389" t="str">
            <v>VW5002</v>
          </cell>
          <cell r="B389" t="str">
            <v>Engate Fixo VW SpaceFox 2005 até 2018</v>
          </cell>
        </row>
        <row r="390">
          <cell r="A390" t="str">
            <v>VW5003</v>
          </cell>
          <cell r="B390" t="str">
            <v xml:space="preserve">Engate Fixo VW  Voyage 2009 até 2018 </v>
          </cell>
        </row>
        <row r="391">
          <cell r="A391" t="str">
            <v>VW5004</v>
          </cell>
          <cell r="B391" t="str">
            <v>Engate Fixo VW Saveiro G5/G6/G7</v>
          </cell>
        </row>
        <row r="392">
          <cell r="A392" t="str">
            <v>VW5005</v>
          </cell>
          <cell r="B392" t="str">
            <v>Engate Removivel VW Amarok  (4 Furos)</v>
          </cell>
        </row>
        <row r="393">
          <cell r="A393" t="str">
            <v>VW5006</v>
          </cell>
          <cell r="B393" t="str">
            <v>Engate Fixo VW Jeta Variant 2006 até 2013</v>
          </cell>
        </row>
        <row r="394">
          <cell r="A394" t="str">
            <v>VW5007</v>
          </cell>
          <cell r="B394" t="str">
            <v>Engate Fixo VW Logus/Pointer/Escort/Verona Europe</v>
          </cell>
        </row>
        <row r="395">
          <cell r="A395" t="str">
            <v>VW5008</v>
          </cell>
          <cell r="B395" t="str">
            <v xml:space="preserve">Engate Fixo VW Fox / Cross Fox - Todos </v>
          </cell>
        </row>
        <row r="396">
          <cell r="A396" t="str">
            <v>VW5009</v>
          </cell>
          <cell r="B396" t="str">
            <v>Engate Fixo VW Amarok (4 Furos)</v>
          </cell>
        </row>
        <row r="397">
          <cell r="A397" t="str">
            <v>VW5010</v>
          </cell>
          <cell r="B397" t="str">
            <v>Engate Fixo Kombi 2006 até 2013</v>
          </cell>
        </row>
        <row r="398">
          <cell r="A398" t="str">
            <v>VW5011</v>
          </cell>
          <cell r="B398" t="str">
            <v>Engate Fixo VW Polo Hatch 2000 Até 2016</v>
          </cell>
        </row>
        <row r="399">
          <cell r="A399" t="str">
            <v>VW5012</v>
          </cell>
          <cell r="B399" t="str">
            <v>Engate Fixo VW UP! 2014 até 2018</v>
          </cell>
        </row>
        <row r="400">
          <cell r="A400" t="str">
            <v>VW5013</v>
          </cell>
          <cell r="B400" t="str">
            <v>Engate Fixo VW Golf 1999 A 2013</v>
          </cell>
        </row>
        <row r="401">
          <cell r="A401" t="str">
            <v>VW5015</v>
          </cell>
          <cell r="B401" t="str">
            <v>Engate Fixo VW Saveiro G2/G3/G4</v>
          </cell>
        </row>
        <row r="402">
          <cell r="A402" t="str">
            <v>VW5016</v>
          </cell>
          <cell r="B402" t="str">
            <v xml:space="preserve">Engate Fixo VW Gol G2 </v>
          </cell>
        </row>
        <row r="403">
          <cell r="A403" t="str">
            <v>VW5017</v>
          </cell>
          <cell r="B403" t="str">
            <v>Engate Fixo VW Parati 1995 até 2012</v>
          </cell>
        </row>
        <row r="404">
          <cell r="A404" t="str">
            <v>VW5018</v>
          </cell>
          <cell r="B404" t="str">
            <v>Engate Fixo VW Parati / Voyage 87 a 94 (Quadrado)</v>
          </cell>
        </row>
        <row r="405">
          <cell r="A405" t="str">
            <v>VW5020</v>
          </cell>
          <cell r="B405" t="str">
            <v>Engate Fixo VW Polo Sedan 2002 até 2015</v>
          </cell>
        </row>
        <row r="406">
          <cell r="A406" t="str">
            <v>VW5021</v>
          </cell>
          <cell r="B406" t="str">
            <v>Engate Fixo VW Santana 1999 até 2006</v>
          </cell>
        </row>
        <row r="407">
          <cell r="A407" t="str">
            <v>VW5022</v>
          </cell>
          <cell r="B407" t="str">
            <v>Engate Fixo VW Kombi 1997 até 2005</v>
          </cell>
        </row>
        <row r="408">
          <cell r="A408" t="str">
            <v>VW5023</v>
          </cell>
          <cell r="B408" t="str">
            <v xml:space="preserve">Engate Fixo VW Gol Rally 13/14 </v>
          </cell>
        </row>
        <row r="409">
          <cell r="A409" t="str">
            <v>VW5024</v>
          </cell>
          <cell r="B409" t="str">
            <v xml:space="preserve">Engate Fixo VW Santana 1987 a 1998 </v>
          </cell>
        </row>
        <row r="410">
          <cell r="A410" t="str">
            <v>VW5025</v>
          </cell>
          <cell r="B410" t="str">
            <v xml:space="preserve">Engate Fixo VW Golf TSI 2015 até 2018 </v>
          </cell>
        </row>
        <row r="411">
          <cell r="A411" t="str">
            <v>VW5026</v>
          </cell>
          <cell r="B411" t="str">
            <v>Engate Fixo VW Fusca 1972 até 1994</v>
          </cell>
        </row>
        <row r="412">
          <cell r="A412" t="str">
            <v>VW5027</v>
          </cell>
          <cell r="B412" t="str">
            <v>Engate Fixo VW Bora 2002 até 2012</v>
          </cell>
        </row>
        <row r="413">
          <cell r="A413" t="str">
            <v>VW5028</v>
          </cell>
          <cell r="B413" t="str">
            <v>Engate Fixo VW Saveiro G1 Quadrada</v>
          </cell>
        </row>
        <row r="414">
          <cell r="A414" t="str">
            <v>VW5029</v>
          </cell>
          <cell r="B414" t="str">
            <v>Engate Fixo VW Golf 1999/2007</v>
          </cell>
        </row>
        <row r="415">
          <cell r="A415" t="str">
            <v>VW5031</v>
          </cell>
          <cell r="B415" t="str">
            <v>Engate Fixo VW Jetta 2012 até 2017</v>
          </cell>
        </row>
        <row r="416">
          <cell r="A416" t="str">
            <v>VW5032</v>
          </cell>
          <cell r="B416" t="str">
            <v>Engate Fixo VW Gol G1 87 até 94 (Quadrado)</v>
          </cell>
        </row>
        <row r="417">
          <cell r="A417" t="str">
            <v>VW5033</v>
          </cell>
          <cell r="B417" t="str">
            <v>Engate Fixo VW Santana Quantum 1988 até 1991</v>
          </cell>
        </row>
        <row r="418">
          <cell r="A418" t="str">
            <v>VW5034</v>
          </cell>
          <cell r="B418" t="str">
            <v>Engate Fixo VW Polo Sedan Classic</v>
          </cell>
        </row>
        <row r="419">
          <cell r="A419" t="str">
            <v>VW5035</v>
          </cell>
          <cell r="B419" t="str">
            <v>Engate Fixo VW Tiguan 2010 até 2015</v>
          </cell>
        </row>
        <row r="420">
          <cell r="A420" t="str">
            <v>VW5036</v>
          </cell>
          <cell r="B420" t="str">
            <v>Engate Fixo VW Polo Hatch 2017 até 2020</v>
          </cell>
        </row>
        <row r="421">
          <cell r="A421" t="str">
            <v>VW5037</v>
          </cell>
          <cell r="B421" t="str">
            <v>Engate Fixo VW Gol G2 Special</v>
          </cell>
        </row>
        <row r="422">
          <cell r="A422" t="str">
            <v>VW5038</v>
          </cell>
          <cell r="B422" t="str">
            <v>Engate Fixo VW Virtus 2018 até 2019</v>
          </cell>
        </row>
        <row r="423">
          <cell r="A423" t="str">
            <v>VW5039</v>
          </cell>
          <cell r="B423" t="str">
            <v>Engate Fixo VW Santana 84/87 (Parachoque Pequeno)</v>
          </cell>
        </row>
        <row r="424">
          <cell r="A424" t="str">
            <v>VW5040</v>
          </cell>
          <cell r="B424" t="str">
            <v>Engate Removivel VW Amarok Chassi</v>
          </cell>
        </row>
        <row r="425">
          <cell r="A425" t="str">
            <v>VW5041</v>
          </cell>
          <cell r="B425" t="str">
            <v>Engate Fixo VW Golf Variant 2013 até 2018</v>
          </cell>
        </row>
        <row r="426">
          <cell r="A426" t="str">
            <v>VW5050</v>
          </cell>
          <cell r="B426" t="str">
            <v>Engate Fixo Volkswagen Nivus 2021</v>
          </cell>
        </row>
        <row r="427">
          <cell r="A427" t="str">
            <v>VW5051</v>
          </cell>
          <cell r="B427" t="str">
            <v>Engate Fixo Volkswagen Nivus 2022</v>
          </cell>
        </row>
        <row r="428">
          <cell r="A428" t="str">
            <v>VW5052</v>
          </cell>
          <cell r="B428" t="str">
            <v>Engate Fixo Volkswagen Nivus 2023</v>
          </cell>
        </row>
        <row r="429">
          <cell r="A429" t="str">
            <v>VW5053</v>
          </cell>
          <cell r="B429" t="str">
            <v>Engate Fixo Volkswagen Nivus 2024</v>
          </cell>
        </row>
        <row r="430">
          <cell r="A430" t="str">
            <v>VW5054</v>
          </cell>
          <cell r="B430" t="str">
            <v>Engate Fixo Volkswagen Nivus 2025</v>
          </cell>
        </row>
        <row r="431">
          <cell r="A431" t="str">
            <v>VW5055</v>
          </cell>
          <cell r="B431" t="str">
            <v>Engate Fixo Volkswagen Nivus 2026</v>
          </cell>
        </row>
        <row r="432">
          <cell r="A432" t="str">
            <v>VW5056</v>
          </cell>
          <cell r="B432" t="str">
            <v>Engate Fixo Volkswagen Nivus 2027</v>
          </cell>
        </row>
        <row r="433">
          <cell r="A433" t="str">
            <v>VW5057</v>
          </cell>
          <cell r="B433" t="str">
            <v>Engate Fixo Volkswagen Nivus 2028</v>
          </cell>
        </row>
        <row r="434">
          <cell r="A434" t="str">
            <v>VW5058</v>
          </cell>
          <cell r="B434" t="str">
            <v>Engate Fixo Volkswagen Nivus 2029</v>
          </cell>
        </row>
        <row r="435">
          <cell r="A435" t="str">
            <v>VW5059</v>
          </cell>
          <cell r="B435" t="str">
            <v>Engate Fixo Volkswagen Nivus 2030</v>
          </cell>
        </row>
        <row r="436">
          <cell r="A436" t="str">
            <v>VW5060</v>
          </cell>
          <cell r="B436" t="str">
            <v>Engate Fixo Volkswagen Nivus 2031</v>
          </cell>
        </row>
        <row r="437">
          <cell r="A437" t="str">
            <v>VW5061</v>
          </cell>
          <cell r="B437" t="str">
            <v>Engate Fixo Volkswagen Nivus 2032</v>
          </cell>
        </row>
        <row r="438">
          <cell r="A438" t="str">
            <v>VW5062</v>
          </cell>
          <cell r="B438" t="str">
            <v>Engate Fixo Volkswagen Nivus 2033</v>
          </cell>
        </row>
        <row r="439">
          <cell r="A439" t="str">
            <v>VW5063</v>
          </cell>
          <cell r="B439" t="str">
            <v>Engate Fixo Volkswagen Nivus 2034</v>
          </cell>
        </row>
        <row r="440">
          <cell r="A440" t="str">
            <v>VW5064</v>
          </cell>
          <cell r="B440" t="str">
            <v>Engate Fixo Volkswagen Nivus 2035</v>
          </cell>
        </row>
        <row r="441">
          <cell r="A441" t="str">
            <v>VW5065</v>
          </cell>
          <cell r="B441" t="str">
            <v>Engate Fixo Volkswagen Nivus 2036</v>
          </cell>
        </row>
        <row r="442">
          <cell r="A442" t="str">
            <v>VW5066</v>
          </cell>
          <cell r="B442" t="str">
            <v>Engate Fixo Volkswagen Nivus 2037</v>
          </cell>
        </row>
        <row r="443">
          <cell r="A443" t="str">
            <v>VW5067</v>
          </cell>
          <cell r="B443" t="str">
            <v>Engate Fixo Volkswagen Nivus 2038</v>
          </cell>
        </row>
        <row r="444">
          <cell r="A444" t="str">
            <v>VW5068</v>
          </cell>
          <cell r="B444" t="str">
            <v>Engate Fixo Volkswagen Nivus 2039</v>
          </cell>
        </row>
        <row r="445">
          <cell r="A445" t="str">
            <v>VW5069</v>
          </cell>
          <cell r="B445" t="str">
            <v>Engate Fixo Volkswagen Nivus 2040</v>
          </cell>
        </row>
        <row r="446">
          <cell r="A446" t="str">
            <v>VW5070</v>
          </cell>
          <cell r="B446" t="str">
            <v>Engate Fixo Volkswagen Nivus 2041</v>
          </cell>
        </row>
        <row r="447">
          <cell r="A447" t="str">
            <v>VW5071</v>
          </cell>
          <cell r="B447" t="str">
            <v>Engate Fixo Volkswagen Nivus 2042</v>
          </cell>
        </row>
        <row r="448">
          <cell r="A448" t="str">
            <v>VW5072</v>
          </cell>
          <cell r="B448" t="str">
            <v>Engate Fixo Volkswagen Nivus 2043</v>
          </cell>
        </row>
        <row r="449">
          <cell r="A449" t="str">
            <v>VW5073</v>
          </cell>
          <cell r="B449" t="str">
            <v>Engate Fixo Volkswagen Nivus 2044</v>
          </cell>
        </row>
        <row r="450">
          <cell r="A450" t="str">
            <v>VW5043</v>
          </cell>
          <cell r="B450" t="str">
            <v>Engate Fixo VW Jetta 2019</v>
          </cell>
        </row>
        <row r="451">
          <cell r="A451" t="str">
            <v>VW5044</v>
          </cell>
          <cell r="B451" t="str">
            <v>Engate Fixo VW T-Cross 2019</v>
          </cell>
        </row>
        <row r="452">
          <cell r="A452" t="str">
            <v>VW5045</v>
          </cell>
          <cell r="B452" t="str">
            <v>Engate Removível VW T-Cross 2019</v>
          </cell>
        </row>
        <row r="453">
          <cell r="A453" t="str">
            <v>VW5046</v>
          </cell>
          <cell r="B453" t="str">
            <v xml:space="preserve">Engate Fixo VW Tiguan 2019 AllSpace </v>
          </cell>
        </row>
        <row r="454">
          <cell r="A454" t="str">
            <v>VW5047</v>
          </cell>
          <cell r="B454" t="str">
            <v xml:space="preserve">Engate Removível VW Tiguan 2019 AllSpace </v>
          </cell>
        </row>
        <row r="455">
          <cell r="A455" t="str">
            <v>VW5048</v>
          </cell>
          <cell r="B455" t="str">
            <v>Engate Removível VW Up 2014 a 2020</v>
          </cell>
        </row>
        <row r="456">
          <cell r="A456" t="str">
            <v>VW5049</v>
          </cell>
          <cell r="B456" t="str">
            <v>Engate Fixo Volkswagen Nivus 2020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3"/>
  <sheetViews>
    <sheetView showGridLines="0" tabSelected="1" topLeftCell="A151" zoomScale="90" zoomScaleNormal="90" workbookViewId="0">
      <selection activeCell="K183" sqref="K183:L185"/>
    </sheetView>
  </sheetViews>
  <sheetFormatPr defaultRowHeight="15" x14ac:dyDescent="0.25"/>
  <cols>
    <col min="1" max="1" width="3.7109375" customWidth="1"/>
    <col min="2" max="2" width="13.28515625" customWidth="1"/>
    <col min="3" max="3" width="11.85546875" bestFit="1" customWidth="1"/>
    <col min="4" max="4" width="15.7109375" customWidth="1"/>
    <col min="5" max="5" width="8.140625" style="22" customWidth="1"/>
    <col min="6" max="6" width="7.85546875" style="22" customWidth="1"/>
    <col min="7" max="7" width="6.42578125" customWidth="1"/>
    <col min="8" max="8" width="6" bestFit="1" customWidth="1"/>
    <col min="9" max="9" width="9.42578125" customWidth="1"/>
    <col min="10" max="10" width="4.5703125" customWidth="1"/>
    <col min="11" max="11" width="4.140625" customWidth="1"/>
    <col min="12" max="12" width="9.5703125" customWidth="1"/>
  </cols>
  <sheetData>
    <row r="1" spans="1:12" ht="31.5" customHeight="1" x14ac:dyDescent="0.25">
      <c r="A1" s="1"/>
      <c r="B1" s="66" t="s">
        <v>0</v>
      </c>
      <c r="C1" s="66"/>
      <c r="D1" s="66"/>
      <c r="E1" s="66"/>
      <c r="F1" s="66"/>
      <c r="G1" s="66"/>
      <c r="H1" s="66"/>
      <c r="I1" s="66"/>
      <c r="J1" s="66"/>
      <c r="K1" s="142" t="s">
        <v>16</v>
      </c>
      <c r="L1" s="142"/>
    </row>
    <row r="2" spans="1:12" ht="25.5" customHeight="1" x14ac:dyDescent="0.25">
      <c r="A2" s="1"/>
      <c r="B2" s="66"/>
      <c r="C2" s="66"/>
      <c r="D2" s="66"/>
      <c r="E2" s="66"/>
      <c r="F2" s="66"/>
      <c r="G2" s="66"/>
      <c r="H2" s="66"/>
      <c r="I2" s="198">
        <v>520</v>
      </c>
      <c r="J2" s="198"/>
      <c r="K2" s="198"/>
      <c r="L2" s="198"/>
    </row>
    <row r="3" spans="1:12" ht="23.25" customHeight="1" x14ac:dyDescent="0.25">
      <c r="A3" s="1"/>
      <c r="B3" s="4" t="s">
        <v>21</v>
      </c>
      <c r="C3" s="5"/>
      <c r="D3" s="71" t="s">
        <v>3</v>
      </c>
      <c r="E3" s="29"/>
      <c r="F3" s="7" t="s">
        <v>4</v>
      </c>
      <c r="G3" s="196" t="s">
        <v>54</v>
      </c>
      <c r="H3" s="197"/>
      <c r="I3" s="11" t="s">
        <v>6</v>
      </c>
      <c r="J3" s="11"/>
      <c r="K3" s="113">
        <v>20</v>
      </c>
      <c r="L3" s="113"/>
    </row>
    <row r="4" spans="1:12" x14ac:dyDescent="0.25">
      <c r="A4" s="1"/>
      <c r="B4" s="121">
        <f ca="1">TODAY()</f>
        <v>46171</v>
      </c>
      <c r="C4" s="122"/>
      <c r="D4" s="30"/>
      <c r="E4" s="31"/>
      <c r="F4" s="7" t="s">
        <v>5</v>
      </c>
      <c r="G4" s="9"/>
      <c r="H4" s="9"/>
      <c r="I4" s="10"/>
      <c r="J4" s="10"/>
      <c r="K4" s="8"/>
      <c r="L4" s="8"/>
    </row>
    <row r="5" spans="1:12" ht="22.5" x14ac:dyDescent="0.25">
      <c r="A5" s="1"/>
      <c r="B5" s="16" t="s">
        <v>2</v>
      </c>
      <c r="C5" s="59">
        <f ca="1">B4+30</f>
        <v>46201</v>
      </c>
      <c r="D5" s="32" t="s">
        <v>1</v>
      </c>
      <c r="E5" s="33"/>
      <c r="F5" s="199" t="str">
        <f>VLOOKUP(G3,[1]DESCRIÇÃO!$A$2:$B$456,2,FALSE)</f>
        <v>Engate Fixo Audi A3 Sedan 2012 até 2019</v>
      </c>
      <c r="G5" s="200"/>
      <c r="H5" s="200"/>
      <c r="I5" s="200"/>
      <c r="J5" s="200"/>
      <c r="K5" s="200"/>
      <c r="L5" s="200"/>
    </row>
    <row r="6" spans="1:12" ht="18" customHeight="1" x14ac:dyDescent="0.3">
      <c r="A6" s="1"/>
      <c r="B6" s="194" t="s">
        <v>7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</row>
    <row r="7" spans="1:12" ht="22.5" x14ac:dyDescent="0.25">
      <c r="A7" s="3"/>
      <c r="B7" s="13" t="s">
        <v>4</v>
      </c>
      <c r="C7" s="172" t="s">
        <v>8</v>
      </c>
      <c r="D7" s="172"/>
      <c r="E7" s="20" t="s">
        <v>10</v>
      </c>
      <c r="F7" s="14" t="s">
        <v>20</v>
      </c>
      <c r="G7" s="201" t="s">
        <v>102</v>
      </c>
      <c r="H7" s="201"/>
      <c r="I7" s="202" t="s">
        <v>103</v>
      </c>
      <c r="J7" s="202"/>
      <c r="K7" s="202"/>
      <c r="L7" s="202"/>
    </row>
    <row r="8" spans="1:12" ht="23.25" customHeight="1" x14ac:dyDescent="0.25">
      <c r="A8" s="215" t="s">
        <v>18</v>
      </c>
      <c r="B8" s="88" t="s">
        <v>96</v>
      </c>
      <c r="C8" s="225" t="s">
        <v>85</v>
      </c>
      <c r="D8" s="226"/>
      <c r="E8" s="92">
        <v>1</v>
      </c>
      <c r="F8" s="89">
        <f>K3</f>
        <v>20</v>
      </c>
      <c r="G8" s="112" t="s">
        <v>87</v>
      </c>
      <c r="H8" s="112"/>
      <c r="I8" s="107"/>
      <c r="J8" s="112"/>
      <c r="K8" s="112"/>
      <c r="L8" s="107"/>
    </row>
    <row r="9" spans="1:12" ht="26.25" customHeight="1" x14ac:dyDescent="0.25">
      <c r="A9" s="215"/>
      <c r="B9" s="55" t="s">
        <v>97</v>
      </c>
      <c r="C9" s="227" t="s">
        <v>84</v>
      </c>
      <c r="D9" s="227"/>
      <c r="E9" s="42">
        <v>1</v>
      </c>
      <c r="F9" s="42">
        <f>E9*$K$3</f>
        <v>20</v>
      </c>
      <c r="G9" s="112" t="s">
        <v>87</v>
      </c>
      <c r="H9" s="112"/>
      <c r="I9" s="107"/>
      <c r="J9" s="112"/>
      <c r="K9" s="112"/>
      <c r="L9" s="107"/>
    </row>
    <row r="10" spans="1:12" ht="4.9000000000000004" customHeight="1" x14ac:dyDescent="0.25">
      <c r="A10" s="70"/>
      <c r="B10" s="54"/>
      <c r="C10" s="69"/>
      <c r="D10" s="55"/>
      <c r="E10" s="42"/>
      <c r="F10" s="42"/>
      <c r="G10" s="112" t="s">
        <v>87</v>
      </c>
      <c r="H10" s="112"/>
      <c r="I10" s="107"/>
      <c r="J10" s="112"/>
      <c r="K10" s="112"/>
      <c r="L10" s="107"/>
    </row>
    <row r="11" spans="1:12" ht="31.5" customHeight="1" x14ac:dyDescent="0.25">
      <c r="A11" s="53" t="s">
        <v>17</v>
      </c>
      <c r="B11" s="54" t="s">
        <v>98</v>
      </c>
      <c r="C11" s="54" t="s">
        <v>86</v>
      </c>
      <c r="D11" s="54"/>
      <c r="E11" s="42">
        <v>1</v>
      </c>
      <c r="F11" s="42">
        <f>E11*$K$3</f>
        <v>20</v>
      </c>
      <c r="G11" s="112" t="s">
        <v>87</v>
      </c>
      <c r="H11" s="112"/>
      <c r="I11" s="107"/>
      <c r="J11" s="112"/>
      <c r="K11" s="112"/>
      <c r="L11" s="107"/>
    </row>
    <row r="12" spans="1:12" ht="8.25" customHeight="1" x14ac:dyDescent="0.25">
      <c r="A12" s="51"/>
      <c r="B12" s="46"/>
      <c r="C12" s="46"/>
      <c r="D12" s="46"/>
      <c r="E12" s="47"/>
      <c r="F12" s="45"/>
      <c r="G12" s="112" t="s">
        <v>87</v>
      </c>
      <c r="H12" s="112"/>
      <c r="I12" s="107"/>
      <c r="J12" s="112"/>
      <c r="K12" s="112"/>
      <c r="L12" s="107"/>
    </row>
    <row r="13" spans="1:12" ht="43.5" customHeight="1" x14ac:dyDescent="0.25">
      <c r="A13" s="70" t="s">
        <v>19</v>
      </c>
      <c r="B13" s="54" t="s">
        <v>99</v>
      </c>
      <c r="C13" s="173" t="s">
        <v>88</v>
      </c>
      <c r="D13" s="174"/>
      <c r="E13" s="42">
        <v>1</v>
      </c>
      <c r="F13" s="42">
        <f>E13*$K$3</f>
        <v>20</v>
      </c>
      <c r="G13" s="112" t="s">
        <v>87</v>
      </c>
      <c r="H13" s="112"/>
      <c r="I13" s="107"/>
      <c r="J13" s="112"/>
      <c r="K13" s="112"/>
      <c r="L13" s="107"/>
    </row>
    <row r="14" spans="1:12" ht="4.9000000000000004" customHeight="1" x14ac:dyDescent="0.25">
      <c r="A14" s="70"/>
      <c r="B14" s="54"/>
      <c r="C14" s="69"/>
      <c r="D14" s="55"/>
      <c r="E14" s="42"/>
      <c r="F14" s="42"/>
      <c r="G14" s="112" t="s">
        <v>87</v>
      </c>
      <c r="H14" s="112"/>
      <c r="I14" s="107"/>
      <c r="J14" s="112"/>
      <c r="K14" s="112"/>
      <c r="L14" s="107"/>
    </row>
    <row r="15" spans="1:12" ht="51" customHeight="1" x14ac:dyDescent="0.25">
      <c r="A15" s="70" t="s">
        <v>50</v>
      </c>
      <c r="B15" s="54" t="s">
        <v>100</v>
      </c>
      <c r="C15" s="173" t="s">
        <v>89</v>
      </c>
      <c r="D15" s="174"/>
      <c r="E15" s="42">
        <v>1</v>
      </c>
      <c r="F15" s="42">
        <f>E15*$K$3</f>
        <v>20</v>
      </c>
      <c r="G15" s="112" t="s">
        <v>87</v>
      </c>
      <c r="H15" s="112"/>
      <c r="I15" s="107"/>
      <c r="J15" s="112"/>
      <c r="K15" s="112"/>
      <c r="L15" s="107"/>
    </row>
    <row r="16" spans="1:12" s="25" customFormat="1" ht="4.9000000000000004" customHeight="1" x14ac:dyDescent="0.2">
      <c r="A16" s="51"/>
      <c r="B16" s="46"/>
      <c r="C16" s="46"/>
      <c r="D16" s="46"/>
      <c r="E16" s="47"/>
      <c r="F16" s="45"/>
      <c r="G16" s="43"/>
      <c r="H16" s="44"/>
      <c r="I16" s="44"/>
      <c r="J16" s="44"/>
      <c r="K16" s="44"/>
      <c r="L16" s="44"/>
    </row>
    <row r="17" spans="1:12" ht="22.5" x14ac:dyDescent="0.25">
      <c r="B17" s="228" t="s">
        <v>15</v>
      </c>
      <c r="C17" s="229"/>
      <c r="D17" s="230"/>
      <c r="E17" s="20" t="s">
        <v>10</v>
      </c>
      <c r="F17" s="14" t="s">
        <v>20</v>
      </c>
      <c r="G17" s="201" t="s">
        <v>102</v>
      </c>
      <c r="H17" s="201"/>
      <c r="I17" s="202" t="s">
        <v>103</v>
      </c>
      <c r="J17" s="202"/>
      <c r="K17" s="202"/>
      <c r="L17" s="202"/>
    </row>
    <row r="18" spans="1:12" ht="19.5" customHeight="1" x14ac:dyDescent="0.25">
      <c r="B18" s="12" t="s">
        <v>67</v>
      </c>
      <c r="C18" s="231" t="s">
        <v>11</v>
      </c>
      <c r="D18" s="232"/>
      <c r="E18" s="27">
        <v>1</v>
      </c>
      <c r="F18" s="91">
        <f t="shared" ref="F18:F19" si="0">E18*$K$3</f>
        <v>20</v>
      </c>
      <c r="G18" s="112" t="s">
        <v>87</v>
      </c>
      <c r="H18" s="112"/>
      <c r="I18" s="107"/>
      <c r="J18" s="112"/>
      <c r="K18" s="112"/>
      <c r="L18" s="107"/>
    </row>
    <row r="19" spans="1:12" ht="18" customHeight="1" x14ac:dyDescent="0.25">
      <c r="B19" s="12" t="s">
        <v>68</v>
      </c>
      <c r="C19" s="231" t="s">
        <v>12</v>
      </c>
      <c r="D19" s="232"/>
      <c r="E19" s="27">
        <v>1</v>
      </c>
      <c r="F19" s="90">
        <f t="shared" si="0"/>
        <v>20</v>
      </c>
      <c r="G19" s="112" t="s">
        <v>87</v>
      </c>
      <c r="H19" s="112"/>
      <c r="I19" s="107"/>
      <c r="J19" s="112"/>
      <c r="K19" s="112"/>
      <c r="L19" s="107"/>
    </row>
    <row r="20" spans="1:12" ht="21.75" customHeight="1" x14ac:dyDescent="0.3">
      <c r="B20" s="52" t="s">
        <v>45</v>
      </c>
      <c r="F20" s="2"/>
      <c r="G20" s="1"/>
      <c r="H20" s="1"/>
      <c r="I20" s="1"/>
      <c r="J20" s="224"/>
      <c r="K20" s="224"/>
      <c r="L20" s="224"/>
    </row>
    <row r="21" spans="1:12" x14ac:dyDescent="0.25">
      <c r="A21" s="1"/>
      <c r="B21" s="1"/>
      <c r="C21" s="1"/>
      <c r="D21" s="1"/>
      <c r="E21" s="2"/>
      <c r="F21" s="2"/>
      <c r="G21" s="1"/>
      <c r="H21" s="1"/>
      <c r="I21" s="1"/>
      <c r="J21" s="224"/>
      <c r="K21" s="224"/>
      <c r="L21" s="224"/>
    </row>
    <row r="22" spans="1:12" x14ac:dyDescent="0.25">
      <c r="A22" s="1"/>
      <c r="B22" s="1"/>
      <c r="C22" s="1"/>
      <c r="D22" s="1"/>
      <c r="E22" s="2"/>
      <c r="F22" s="2"/>
      <c r="G22" s="224" t="s">
        <v>90</v>
      </c>
      <c r="H22" s="224"/>
      <c r="I22" s="224"/>
      <c r="J22" s="224"/>
      <c r="K22" s="224"/>
      <c r="L22" s="224"/>
    </row>
    <row r="23" spans="1:12" x14ac:dyDescent="0.25">
      <c r="A23" s="1"/>
      <c r="B23" s="1"/>
      <c r="C23" s="1"/>
      <c r="D23" s="1"/>
      <c r="E23" s="2"/>
      <c r="F23" s="2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2"/>
      <c r="F24" s="2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2"/>
      <c r="F25" s="2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2"/>
      <c r="F26" s="2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2"/>
      <c r="F27" s="2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2"/>
      <c r="F28" s="2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2"/>
      <c r="F29" s="2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2"/>
      <c r="F30" s="2"/>
      <c r="G30" s="1"/>
      <c r="H30" s="1"/>
      <c r="I30" s="1"/>
      <c r="J30" s="1"/>
      <c r="K30" s="1"/>
      <c r="L30" s="1"/>
    </row>
    <row r="31" spans="1:12" ht="21.95" customHeight="1" x14ac:dyDescent="0.25">
      <c r="A31" s="1"/>
      <c r="B31" s="61"/>
      <c r="C31" s="61"/>
      <c r="D31" s="61"/>
      <c r="E31" s="61"/>
      <c r="F31" s="203"/>
      <c r="G31" s="203"/>
      <c r="H31" s="203"/>
      <c r="I31" s="203"/>
      <c r="J31" s="203"/>
      <c r="K31" s="203"/>
      <c r="L31" s="61"/>
    </row>
    <row r="32" spans="1:12" ht="21.95" customHeight="1" x14ac:dyDescent="0.25">
      <c r="A32" s="1"/>
      <c r="B32" s="204"/>
      <c r="C32" s="204"/>
      <c r="D32" s="204"/>
      <c r="E32" s="2"/>
      <c r="F32" s="145"/>
      <c r="G32" s="145"/>
      <c r="H32" s="145"/>
      <c r="I32" s="145"/>
      <c r="J32" s="145"/>
      <c r="K32" s="145"/>
      <c r="L32" s="1"/>
    </row>
    <row r="33" spans="1:12" ht="21.95" customHeight="1" x14ac:dyDescent="0.25">
      <c r="A33" s="1"/>
      <c r="B33" s="204"/>
      <c r="C33" s="204"/>
      <c r="D33" s="204"/>
      <c r="E33" s="2"/>
      <c r="F33" s="145"/>
      <c r="G33" s="145"/>
      <c r="H33" s="145"/>
      <c r="I33" s="145"/>
      <c r="J33" s="145"/>
      <c r="K33" s="145"/>
      <c r="L33" s="1"/>
    </row>
    <row r="34" spans="1:12" ht="21.95" customHeight="1" x14ac:dyDescent="0.25">
      <c r="A34" s="1"/>
      <c r="B34" s="204"/>
      <c r="C34" s="204"/>
      <c r="D34" s="204"/>
      <c r="E34" s="2"/>
      <c r="F34" s="145"/>
      <c r="G34" s="145"/>
      <c r="H34" s="145"/>
      <c r="I34" s="145"/>
      <c r="J34" s="145"/>
      <c r="K34" s="145"/>
      <c r="L34" s="1"/>
    </row>
    <row r="35" spans="1:12" ht="21.95" customHeight="1" x14ac:dyDescent="0.25">
      <c r="A35" s="1"/>
      <c r="B35" s="62"/>
      <c r="C35" s="62"/>
      <c r="D35" s="62"/>
      <c r="E35" s="2"/>
      <c r="F35" s="2"/>
      <c r="G35" s="2"/>
      <c r="H35" s="2"/>
      <c r="I35" s="2"/>
      <c r="J35" s="2"/>
      <c r="K35" s="2"/>
      <c r="L35" s="1"/>
    </row>
    <row r="36" spans="1:12" x14ac:dyDescent="0.25">
      <c r="A36" s="1"/>
      <c r="B36" s="84"/>
      <c r="C36" s="84"/>
      <c r="D36" s="84"/>
      <c r="E36" s="85"/>
      <c r="F36" s="85"/>
      <c r="G36" s="84"/>
      <c r="H36" s="84"/>
      <c r="I36" s="84"/>
      <c r="J36" s="84"/>
      <c r="K36" s="84"/>
      <c r="L36" s="84"/>
    </row>
    <row r="37" spans="1:12" ht="15.75" x14ac:dyDescent="0.25">
      <c r="A37" s="1"/>
      <c r="B37" s="86"/>
      <c r="C37" s="86"/>
      <c r="D37" s="86"/>
      <c r="E37" s="86"/>
      <c r="F37" s="182"/>
      <c r="G37" s="182"/>
      <c r="H37" s="182"/>
      <c r="I37" s="182"/>
      <c r="J37" s="182"/>
      <c r="K37" s="182"/>
      <c r="L37" s="86"/>
    </row>
    <row r="38" spans="1:12" x14ac:dyDescent="0.25">
      <c r="A38" s="1"/>
      <c r="B38" s="183"/>
      <c r="C38" s="183"/>
      <c r="D38" s="183"/>
      <c r="E38" s="85"/>
      <c r="F38" s="184"/>
      <c r="G38" s="184"/>
      <c r="H38" s="184"/>
      <c r="I38" s="184"/>
      <c r="J38" s="184"/>
      <c r="K38" s="184"/>
      <c r="L38" s="84"/>
    </row>
    <row r="39" spans="1:12" ht="29.25" customHeight="1" x14ac:dyDescent="0.25">
      <c r="A39" s="1"/>
      <c r="B39" s="183"/>
      <c r="C39" s="183"/>
      <c r="D39" s="183"/>
      <c r="E39" s="85"/>
      <c r="F39" s="184"/>
      <c r="G39" s="184"/>
      <c r="H39" s="184"/>
      <c r="I39" s="184"/>
      <c r="J39" s="184"/>
      <c r="K39" s="184"/>
      <c r="L39" s="84"/>
    </row>
    <row r="40" spans="1:12" ht="17.25" customHeight="1" x14ac:dyDescent="0.25">
      <c r="A40" s="1"/>
      <c r="B40" s="183"/>
      <c r="C40" s="183"/>
      <c r="D40" s="183"/>
      <c r="E40" s="85"/>
      <c r="F40" s="184"/>
      <c r="G40" s="184"/>
      <c r="H40" s="184"/>
      <c r="I40" s="184"/>
      <c r="J40" s="184"/>
      <c r="K40" s="184"/>
      <c r="L40" s="84"/>
    </row>
    <row r="41" spans="1:12" ht="17.25" customHeight="1" x14ac:dyDescent="0.25">
      <c r="A41" s="1"/>
      <c r="B41" s="62"/>
      <c r="C41" s="62"/>
      <c r="D41" s="62"/>
      <c r="E41" s="2"/>
      <c r="F41" s="2"/>
      <c r="G41" s="2"/>
      <c r="H41" s="2"/>
      <c r="I41" s="2"/>
      <c r="J41" s="2"/>
      <c r="K41" s="2"/>
      <c r="L41" s="1"/>
    </row>
    <row r="42" spans="1:12" ht="17.25" customHeight="1" x14ac:dyDescent="0.25">
      <c r="A42" s="1"/>
      <c r="B42" s="83"/>
      <c r="C42" s="83"/>
      <c r="D42" s="83"/>
      <c r="E42" s="82"/>
      <c r="F42" s="82"/>
      <c r="G42" s="82"/>
      <c r="H42" s="82"/>
      <c r="I42" s="82"/>
      <c r="J42" s="82"/>
      <c r="K42" s="82"/>
      <c r="L42" s="1"/>
    </row>
    <row r="43" spans="1:12" ht="28.5" customHeight="1" x14ac:dyDescent="0.25">
      <c r="A43" s="1"/>
      <c r="B43" s="185" t="s">
        <v>0</v>
      </c>
      <c r="C43" s="185"/>
      <c r="D43" s="185"/>
      <c r="E43" s="185"/>
      <c r="F43" s="185"/>
      <c r="G43" s="185"/>
      <c r="H43" s="185"/>
      <c r="I43" s="185"/>
      <c r="J43" s="185"/>
      <c r="K43" s="142" t="s">
        <v>16</v>
      </c>
      <c r="L43" s="142"/>
    </row>
    <row r="44" spans="1:12" ht="30" customHeight="1" x14ac:dyDescent="0.25">
      <c r="A44" s="1"/>
      <c r="B44" s="185"/>
      <c r="C44" s="185"/>
      <c r="D44" s="185"/>
      <c r="E44" s="185"/>
      <c r="F44" s="185"/>
      <c r="G44" s="185"/>
      <c r="H44" s="185"/>
      <c r="I44" s="185"/>
      <c r="J44" s="185"/>
      <c r="K44" s="186">
        <f>I2</f>
        <v>520</v>
      </c>
      <c r="L44" s="186"/>
    </row>
    <row r="45" spans="1:12" ht="25.5" customHeight="1" x14ac:dyDescent="0.25">
      <c r="A45" s="1"/>
      <c r="B45" s="4" t="s">
        <v>21</v>
      </c>
      <c r="C45" s="5"/>
      <c r="D45" s="6" t="s">
        <v>3</v>
      </c>
      <c r="E45" s="26" t="s">
        <v>34</v>
      </c>
      <c r="F45" s="17" t="s">
        <v>4</v>
      </c>
      <c r="G45" s="196" t="str">
        <f>G3</f>
        <v>AD1001</v>
      </c>
      <c r="H45" s="197"/>
      <c r="I45" s="11" t="s">
        <v>6</v>
      </c>
      <c r="J45" s="11"/>
      <c r="K45" s="113">
        <f>K3</f>
        <v>20</v>
      </c>
      <c r="L45" s="113"/>
    </row>
    <row r="46" spans="1:12" ht="12" customHeight="1" x14ac:dyDescent="0.25">
      <c r="A46" s="1"/>
      <c r="B46" s="121">
        <f ca="1">TODAY()</f>
        <v>46171</v>
      </c>
      <c r="C46" s="122"/>
      <c r="D46" s="205" t="s">
        <v>1</v>
      </c>
      <c r="E46" s="159" t="s">
        <v>34</v>
      </c>
      <c r="F46" s="7" t="s">
        <v>5</v>
      </c>
      <c r="G46" s="9"/>
      <c r="H46" s="9"/>
      <c r="I46" s="10"/>
      <c r="J46" s="10"/>
      <c r="K46" s="8"/>
      <c r="L46" s="8"/>
    </row>
    <row r="47" spans="1:12" ht="22.5" x14ac:dyDescent="0.25">
      <c r="A47" s="1"/>
      <c r="B47" s="16" t="s">
        <v>2</v>
      </c>
      <c r="C47" s="15">
        <f ca="1">B46+30</f>
        <v>46201</v>
      </c>
      <c r="D47" s="206"/>
      <c r="E47" s="160"/>
      <c r="F47" s="192" t="str">
        <f>F5</f>
        <v>Engate Fixo Audi A3 Sedan 2012 até 2019</v>
      </c>
      <c r="G47" s="193"/>
      <c r="H47" s="193"/>
      <c r="I47" s="193"/>
      <c r="J47" s="193"/>
      <c r="K47" s="193"/>
      <c r="L47" s="193"/>
    </row>
    <row r="48" spans="1:12" ht="6.75" customHeight="1" x14ac:dyDescent="0.25">
      <c r="A48" s="1"/>
      <c r="B48" s="1"/>
      <c r="C48" s="1"/>
      <c r="D48" s="1"/>
      <c r="E48" s="2"/>
      <c r="F48" s="2"/>
      <c r="G48" s="1"/>
      <c r="H48" s="1"/>
      <c r="I48" s="1"/>
      <c r="J48" s="1"/>
      <c r="K48" s="1"/>
      <c r="L48" s="1"/>
    </row>
    <row r="49" spans="1:12" ht="16.5" customHeight="1" x14ac:dyDescent="0.3">
      <c r="A49" s="1"/>
      <c r="B49" s="194" t="s">
        <v>24</v>
      </c>
      <c r="C49" s="194"/>
      <c r="D49" s="194"/>
      <c r="E49" s="194"/>
      <c r="F49" s="194"/>
      <c r="G49" s="194"/>
      <c r="H49" s="194"/>
      <c r="I49" s="194"/>
      <c r="J49" s="194"/>
      <c r="K49" s="194"/>
      <c r="L49" s="194"/>
    </row>
    <row r="50" spans="1:12" ht="3.75" customHeight="1" x14ac:dyDescent="0.25">
      <c r="A50" s="1"/>
      <c r="B50" s="1"/>
      <c r="C50" s="1"/>
      <c r="D50" s="1"/>
      <c r="E50" s="2"/>
      <c r="F50" s="2"/>
      <c r="G50" s="1"/>
      <c r="H50" s="1"/>
      <c r="I50" s="1"/>
      <c r="J50" s="1"/>
      <c r="K50" s="1"/>
      <c r="L50" s="1"/>
    </row>
    <row r="51" spans="1:12" ht="21.75" customHeight="1" x14ac:dyDescent="0.25">
      <c r="A51" s="3"/>
      <c r="B51" s="75" t="s">
        <v>4</v>
      </c>
      <c r="C51" s="195" t="s">
        <v>8</v>
      </c>
      <c r="D51" s="195"/>
      <c r="E51" s="105" t="s">
        <v>10</v>
      </c>
      <c r="F51" s="106" t="s">
        <v>101</v>
      </c>
      <c r="G51" s="146" t="s">
        <v>22</v>
      </c>
      <c r="H51" s="147"/>
      <c r="I51" s="148"/>
      <c r="J51" s="148"/>
      <c r="K51" s="148"/>
      <c r="L51" s="148"/>
    </row>
    <row r="52" spans="1:12" ht="31.5" customHeight="1" x14ac:dyDescent="0.25">
      <c r="A52" s="215" t="s">
        <v>18</v>
      </c>
      <c r="B52" s="115" t="s">
        <v>66</v>
      </c>
      <c r="C52" s="115" t="s">
        <v>82</v>
      </c>
      <c r="D52" s="115"/>
      <c r="E52" s="210">
        <v>1</v>
      </c>
      <c r="F52" s="210">
        <f>E52*K45</f>
        <v>20</v>
      </c>
      <c r="G52" s="107" t="s">
        <v>9</v>
      </c>
      <c r="H52" s="107"/>
      <c r="I52" s="209" t="s">
        <v>47</v>
      </c>
      <c r="J52" s="209"/>
      <c r="K52" s="209"/>
      <c r="L52" s="209"/>
    </row>
    <row r="53" spans="1:12" ht="31.5" customHeight="1" x14ac:dyDescent="0.25">
      <c r="A53" s="215"/>
      <c r="B53" s="115"/>
      <c r="C53" s="115"/>
      <c r="D53" s="115"/>
      <c r="E53" s="211"/>
      <c r="F53" s="211"/>
      <c r="G53" s="108" t="s">
        <v>13</v>
      </c>
      <c r="H53" s="108"/>
      <c r="I53" s="209" t="s">
        <v>47</v>
      </c>
      <c r="J53" s="209"/>
      <c r="K53" s="209"/>
      <c r="L53" s="209"/>
    </row>
    <row r="54" spans="1:12" s="81" customFormat="1" ht="4.9000000000000004" customHeight="1" x14ac:dyDescent="0.25">
      <c r="A54" s="215"/>
      <c r="B54" s="77"/>
      <c r="C54" s="77"/>
      <c r="D54" s="77"/>
      <c r="E54" s="78"/>
      <c r="F54" s="78"/>
      <c r="G54" s="80"/>
      <c r="H54" s="80"/>
      <c r="I54" s="79"/>
      <c r="J54" s="79"/>
      <c r="K54" s="79"/>
      <c r="L54" s="79"/>
    </row>
    <row r="55" spans="1:12" ht="31.5" customHeight="1" x14ac:dyDescent="0.25">
      <c r="A55" s="215"/>
      <c r="B55" s="115" t="s">
        <v>75</v>
      </c>
      <c r="C55" s="115" t="s">
        <v>83</v>
      </c>
      <c r="D55" s="115"/>
      <c r="E55" s="210">
        <v>1</v>
      </c>
      <c r="F55" s="210">
        <f>E55*K45</f>
        <v>20</v>
      </c>
      <c r="G55" s="107" t="s">
        <v>9</v>
      </c>
      <c r="H55" s="107"/>
      <c r="I55" s="209" t="s">
        <v>47</v>
      </c>
      <c r="J55" s="209"/>
      <c r="K55" s="209"/>
      <c r="L55" s="209"/>
    </row>
    <row r="56" spans="1:12" ht="31.5" customHeight="1" x14ac:dyDescent="0.25">
      <c r="A56" s="215"/>
      <c r="B56" s="115"/>
      <c r="C56" s="115"/>
      <c r="D56" s="115"/>
      <c r="E56" s="211"/>
      <c r="F56" s="211"/>
      <c r="G56" s="108" t="s">
        <v>13</v>
      </c>
      <c r="H56" s="108"/>
      <c r="I56" s="209" t="s">
        <v>47</v>
      </c>
      <c r="J56" s="209"/>
      <c r="K56" s="209"/>
      <c r="L56" s="209"/>
    </row>
    <row r="57" spans="1:12" ht="14.25" customHeight="1" x14ac:dyDescent="0.25">
      <c r="A57" s="1"/>
      <c r="I57" s="34"/>
      <c r="J57" s="34"/>
      <c r="K57" s="34"/>
      <c r="L57" s="34"/>
    </row>
    <row r="58" spans="1:12" ht="14.25" customHeight="1" x14ac:dyDescent="0.25">
      <c r="A58" s="1"/>
      <c r="B58" s="165" t="s">
        <v>91</v>
      </c>
      <c r="C58" s="166"/>
      <c r="D58" s="166"/>
      <c r="E58" s="166"/>
      <c r="F58" s="166"/>
      <c r="G58" s="166"/>
      <c r="H58" s="166"/>
      <c r="I58" s="166"/>
      <c r="J58" s="166"/>
      <c r="K58" s="167"/>
      <c r="L58" s="34"/>
    </row>
    <row r="59" spans="1:12" ht="24" x14ac:dyDescent="0.25">
      <c r="A59" s="1"/>
      <c r="B59" s="13" t="s">
        <v>4</v>
      </c>
      <c r="C59" s="94" t="s">
        <v>92</v>
      </c>
      <c r="D59" s="94" t="s">
        <v>93</v>
      </c>
      <c r="E59" s="14" t="s">
        <v>20</v>
      </c>
      <c r="F59" s="95" t="s">
        <v>94</v>
      </c>
      <c r="G59" s="168" t="s">
        <v>95</v>
      </c>
      <c r="H59" s="168"/>
      <c r="I59" s="168"/>
      <c r="J59" s="168"/>
      <c r="K59" s="168"/>
    </row>
    <row r="60" spans="1:12" ht="30.75" customHeight="1" x14ac:dyDescent="0.25">
      <c r="A60" s="1"/>
      <c r="B60" s="13" t="s">
        <v>96</v>
      </c>
      <c r="C60" s="94"/>
      <c r="D60" s="94"/>
      <c r="E60" s="14"/>
      <c r="F60" s="95"/>
      <c r="G60" s="96"/>
      <c r="H60" s="97"/>
      <c r="I60" s="97"/>
      <c r="J60" s="97"/>
      <c r="K60" s="98"/>
      <c r="L60" s="61"/>
    </row>
    <row r="61" spans="1:12" ht="26.25" customHeight="1" x14ac:dyDescent="0.25">
      <c r="A61" s="1"/>
      <c r="B61" s="13" t="s">
        <v>97</v>
      </c>
      <c r="C61" s="94"/>
      <c r="D61" s="94"/>
      <c r="E61" s="14"/>
      <c r="F61" s="95"/>
      <c r="G61" s="96"/>
      <c r="H61" s="97"/>
      <c r="I61" s="97"/>
      <c r="J61" s="97"/>
      <c r="K61" s="98"/>
      <c r="L61" s="1"/>
    </row>
    <row r="62" spans="1:12" ht="26.25" customHeight="1" x14ac:dyDescent="0.25">
      <c r="A62" s="1"/>
      <c r="B62" s="102"/>
      <c r="C62" s="102"/>
      <c r="D62" s="102"/>
      <c r="E62" s="93"/>
      <c r="F62" s="101"/>
      <c r="G62" s="101"/>
      <c r="H62" s="101"/>
      <c r="I62" s="101"/>
      <c r="J62" s="101"/>
      <c r="K62" s="101"/>
      <c r="L62" s="1"/>
    </row>
    <row r="63" spans="1:12" ht="26.25" customHeight="1" x14ac:dyDescent="0.25">
      <c r="A63" s="1"/>
      <c r="B63" t="s">
        <v>25</v>
      </c>
      <c r="D63" s="102"/>
      <c r="E63" s="93"/>
      <c r="F63" s="101"/>
      <c r="G63" s="101"/>
      <c r="H63" s="101"/>
      <c r="I63" s="101"/>
      <c r="J63" s="101"/>
      <c r="K63" s="101"/>
      <c r="L63" s="1"/>
    </row>
    <row r="64" spans="1:12" ht="26.25" customHeight="1" x14ac:dyDescent="0.25">
      <c r="A64" s="1"/>
      <c r="B64" s="102"/>
      <c r="C64" s="74" t="s">
        <v>66</v>
      </c>
      <c r="D64" s="102"/>
      <c r="E64" s="46"/>
      <c r="F64" s="101"/>
      <c r="H64" s="74" t="s">
        <v>75</v>
      </c>
      <c r="I64" s="145"/>
      <c r="J64" s="145"/>
      <c r="K64" s="145"/>
      <c r="L64" s="1"/>
    </row>
    <row r="65" spans="1:12" ht="26.25" customHeight="1" x14ac:dyDescent="0.25">
      <c r="A65" s="1"/>
      <c r="B65" s="102"/>
      <c r="C65" s="102"/>
      <c r="D65" s="102"/>
      <c r="E65" s="2"/>
      <c r="F65" s="145"/>
      <c r="G65" s="145"/>
      <c r="H65" s="145"/>
      <c r="I65" s="145"/>
      <c r="J65" s="145"/>
      <c r="K65" s="145"/>
      <c r="L65" s="1"/>
    </row>
    <row r="66" spans="1:12" ht="26.25" customHeight="1" x14ac:dyDescent="0.25">
      <c r="A66" s="1"/>
      <c r="B66" s="102"/>
      <c r="C66" s="102"/>
      <c r="D66" s="102"/>
      <c r="E66" s="2"/>
      <c r="F66" s="145"/>
      <c r="G66" s="145"/>
      <c r="H66" s="145"/>
      <c r="I66" s="145"/>
      <c r="J66" s="145"/>
      <c r="K66" s="145"/>
      <c r="L66" s="1"/>
    </row>
    <row r="67" spans="1:12" ht="26.25" customHeight="1" x14ac:dyDescent="0.25">
      <c r="A67" s="1"/>
    </row>
    <row r="68" spans="1:12" ht="26.25" customHeight="1" x14ac:dyDescent="0.25">
      <c r="A68" s="1"/>
      <c r="E68" s="46"/>
      <c r="G68" s="46"/>
    </row>
    <row r="69" spans="1:12" ht="29.25" customHeight="1" x14ac:dyDescent="0.25">
      <c r="A69" s="1"/>
    </row>
    <row r="70" spans="1:12" x14ac:dyDescent="0.25">
      <c r="A70" s="1"/>
      <c r="C70" s="1"/>
      <c r="D70" s="1"/>
      <c r="E70" s="2"/>
      <c r="F70" s="2"/>
      <c r="G70" s="1"/>
      <c r="I70" s="1"/>
      <c r="J70" s="1"/>
      <c r="K70" s="1"/>
      <c r="L70" s="1"/>
    </row>
    <row r="71" spans="1:12" x14ac:dyDescent="0.25">
      <c r="A71" s="1"/>
      <c r="L71" s="1"/>
    </row>
    <row r="72" spans="1:12" x14ac:dyDescent="0.25">
      <c r="A72" s="1"/>
      <c r="B72" s="67"/>
      <c r="C72" s="67"/>
      <c r="D72" s="67"/>
      <c r="L72" s="1"/>
    </row>
    <row r="73" spans="1:12" x14ac:dyDescent="0.25">
      <c r="A73" s="1"/>
      <c r="C73" s="67"/>
      <c r="D73" s="67"/>
      <c r="L73" s="1"/>
    </row>
    <row r="74" spans="1:12" ht="17.25" x14ac:dyDescent="0.25">
      <c r="A74" s="1"/>
      <c r="C74" s="99" t="s">
        <v>73</v>
      </c>
      <c r="D74" s="100"/>
      <c r="E74" s="100"/>
      <c r="H74" t="s">
        <v>74</v>
      </c>
      <c r="I74" s="46"/>
      <c r="L74" s="1"/>
    </row>
    <row r="75" spans="1:12" ht="17.25" x14ac:dyDescent="0.25">
      <c r="A75" s="1"/>
      <c r="D75" s="56"/>
      <c r="E75" s="56"/>
      <c r="L75" s="1"/>
    </row>
    <row r="76" spans="1:12" ht="17.25" x14ac:dyDescent="0.25">
      <c r="A76" s="1"/>
      <c r="C76" s="56"/>
      <c r="D76" s="56"/>
      <c r="E76" s="56"/>
      <c r="L76" s="1"/>
    </row>
    <row r="77" spans="1:12" ht="17.25" x14ac:dyDescent="0.25">
      <c r="A77" s="1"/>
      <c r="C77" s="56"/>
      <c r="D77" s="56"/>
      <c r="E77" s="56"/>
      <c r="L77" s="1"/>
    </row>
    <row r="78" spans="1:12" ht="15.75" x14ac:dyDescent="0.25">
      <c r="A78" s="1"/>
      <c r="B78" s="152" t="s">
        <v>69</v>
      </c>
      <c r="C78" s="152"/>
      <c r="D78" s="152"/>
      <c r="E78" s="152"/>
      <c r="F78" s="152"/>
      <c r="G78" s="152"/>
      <c r="H78" s="152"/>
      <c r="I78" s="152"/>
      <c r="L78" s="1"/>
    </row>
    <row r="79" spans="1:12" x14ac:dyDescent="0.25">
      <c r="A79" s="1"/>
      <c r="B79" s="19" t="s">
        <v>14</v>
      </c>
      <c r="C79" s="19" t="s">
        <v>13</v>
      </c>
      <c r="D79" s="126"/>
      <c r="E79" s="127"/>
      <c r="F79" s="126" t="s">
        <v>71</v>
      </c>
      <c r="G79" s="127"/>
      <c r="H79" s="126" t="s">
        <v>72</v>
      </c>
      <c r="I79" s="127"/>
      <c r="L79" s="1"/>
    </row>
    <row r="80" spans="1:12" x14ac:dyDescent="0.25">
      <c r="A80" s="1"/>
      <c r="B80" s="60"/>
      <c r="C80" s="60"/>
      <c r="D80" s="72"/>
      <c r="E80" s="73"/>
      <c r="F80" s="72"/>
      <c r="G80" s="73"/>
      <c r="H80" s="72"/>
      <c r="I80" s="73"/>
      <c r="L80" s="1"/>
    </row>
    <row r="81" spans="1:12" x14ac:dyDescent="0.25">
      <c r="A81" s="1"/>
      <c r="L81" s="1"/>
    </row>
    <row r="82" spans="1:12" x14ac:dyDescent="0.25">
      <c r="A82" s="1"/>
      <c r="L82" s="1"/>
    </row>
    <row r="83" spans="1:12" x14ac:dyDescent="0.25">
      <c r="A83" s="1"/>
      <c r="L83" s="1"/>
    </row>
    <row r="84" spans="1:12" ht="24.75" customHeight="1" x14ac:dyDescent="0.25">
      <c r="B84" s="18" t="s">
        <v>0</v>
      </c>
      <c r="C84" s="18"/>
      <c r="D84" s="18"/>
      <c r="E84" s="18"/>
      <c r="F84" s="18"/>
      <c r="G84" s="18"/>
      <c r="H84" s="18"/>
      <c r="I84" s="18"/>
      <c r="J84" s="142" t="s">
        <v>16</v>
      </c>
      <c r="K84" s="142"/>
      <c r="L84" s="142"/>
    </row>
    <row r="85" spans="1:12" ht="27" customHeight="1" x14ac:dyDescent="0.25">
      <c r="B85" s="18"/>
      <c r="C85" s="18"/>
      <c r="D85" s="18"/>
      <c r="E85" s="18"/>
      <c r="F85" s="18"/>
      <c r="G85" s="18"/>
      <c r="H85" s="18"/>
      <c r="I85" s="18"/>
      <c r="J85" s="186">
        <f>I2</f>
        <v>520</v>
      </c>
      <c r="K85" s="186"/>
      <c r="L85" s="186"/>
    </row>
    <row r="86" spans="1:12" ht="24.75" customHeight="1" x14ac:dyDescent="0.25">
      <c r="B86" s="4" t="s">
        <v>21</v>
      </c>
      <c r="C86" s="5"/>
      <c r="D86" s="6" t="s">
        <v>3</v>
      </c>
      <c r="E86" s="26" t="s">
        <v>34</v>
      </c>
      <c r="F86" s="17" t="s">
        <v>4</v>
      </c>
      <c r="G86" s="123" t="str">
        <f>G3</f>
        <v>AD1001</v>
      </c>
      <c r="H86" s="124"/>
      <c r="I86" s="11" t="s">
        <v>6</v>
      </c>
      <c r="J86" s="11"/>
      <c r="K86" s="113">
        <f>K3</f>
        <v>20</v>
      </c>
      <c r="L86" s="113"/>
    </row>
    <row r="87" spans="1:12" x14ac:dyDescent="0.25">
      <c r="B87" s="121">
        <f ca="1">TODAY()</f>
        <v>46171</v>
      </c>
      <c r="C87" s="122"/>
      <c r="D87" s="216" t="s">
        <v>1</v>
      </c>
      <c r="E87" s="218" t="s">
        <v>34</v>
      </c>
      <c r="F87" s="7" t="s">
        <v>5</v>
      </c>
      <c r="G87" s="9"/>
      <c r="H87" s="9"/>
      <c r="I87" s="10"/>
      <c r="J87" s="10"/>
      <c r="K87" s="8"/>
      <c r="L87" s="8"/>
    </row>
    <row r="88" spans="1:12" ht="20.25" customHeight="1" x14ac:dyDescent="0.25">
      <c r="B88" s="16" t="s">
        <v>2</v>
      </c>
      <c r="C88" s="15">
        <f ca="1">B87+30</f>
        <v>46201</v>
      </c>
      <c r="D88" s="217"/>
      <c r="E88" s="219"/>
      <c r="F88" s="192" t="str">
        <f>F5</f>
        <v>Engate Fixo Audi A3 Sedan 2012 até 2019</v>
      </c>
      <c r="G88" s="193"/>
      <c r="H88" s="193"/>
      <c r="I88" s="193"/>
      <c r="J88" s="193"/>
      <c r="K88" s="193"/>
      <c r="L88" s="193"/>
    </row>
    <row r="89" spans="1:12" ht="19.5" x14ac:dyDescent="0.3">
      <c r="A89" s="1"/>
      <c r="B89" s="194" t="s">
        <v>26</v>
      </c>
      <c r="C89" s="194"/>
      <c r="D89" s="194"/>
      <c r="E89" s="194"/>
      <c r="F89" s="194"/>
      <c r="G89" s="194"/>
      <c r="H89" s="194"/>
      <c r="I89" s="194"/>
      <c r="J89" s="194"/>
      <c r="K89" s="194"/>
      <c r="L89" s="194"/>
    </row>
    <row r="90" spans="1:12" ht="22.5" x14ac:dyDescent="0.25">
      <c r="A90" s="3"/>
      <c r="B90" s="13" t="s">
        <v>4</v>
      </c>
      <c r="C90" s="172" t="s">
        <v>8</v>
      </c>
      <c r="D90" s="172"/>
      <c r="E90" s="105" t="s">
        <v>10</v>
      </c>
      <c r="F90" s="106" t="s">
        <v>101</v>
      </c>
      <c r="G90" s="146" t="s">
        <v>22</v>
      </c>
      <c r="H90" s="147"/>
      <c r="I90" s="148"/>
      <c r="J90" s="148"/>
      <c r="K90" s="148"/>
      <c r="L90" s="148"/>
    </row>
    <row r="91" spans="1:12" ht="27" customHeight="1" x14ac:dyDescent="0.25">
      <c r="A91" s="114" t="s">
        <v>17</v>
      </c>
      <c r="B91" s="128" t="s">
        <v>98</v>
      </c>
      <c r="C91" s="125" t="s">
        <v>46</v>
      </c>
      <c r="D91" s="125"/>
      <c r="E91" s="125">
        <v>1</v>
      </c>
      <c r="F91" s="212">
        <f>E91*K86</f>
        <v>20</v>
      </c>
      <c r="G91" s="126" t="s">
        <v>14</v>
      </c>
      <c r="H91" s="127"/>
      <c r="I91" s="126" t="s">
        <v>33</v>
      </c>
      <c r="J91" s="151"/>
      <c r="K91" s="151"/>
      <c r="L91" s="127"/>
    </row>
    <row r="92" spans="1:12" ht="27" customHeight="1" x14ac:dyDescent="0.25">
      <c r="A92" s="114"/>
      <c r="B92" s="129"/>
      <c r="C92" s="125"/>
      <c r="D92" s="125"/>
      <c r="E92" s="125"/>
      <c r="F92" s="213"/>
      <c r="G92" s="126" t="s">
        <v>13</v>
      </c>
      <c r="H92" s="127"/>
      <c r="I92" s="126" t="s">
        <v>33</v>
      </c>
      <c r="J92" s="151"/>
      <c r="K92" s="151"/>
      <c r="L92" s="127"/>
    </row>
    <row r="93" spans="1:12" ht="27" customHeight="1" x14ac:dyDescent="0.25">
      <c r="A93" s="114"/>
      <c r="B93" s="130"/>
      <c r="C93" s="125"/>
      <c r="D93" s="125"/>
      <c r="E93" s="125"/>
      <c r="F93" s="214"/>
      <c r="G93" s="149" t="s">
        <v>55</v>
      </c>
      <c r="H93" s="150"/>
      <c r="I93" s="126" t="s">
        <v>33</v>
      </c>
      <c r="J93" s="151"/>
      <c r="K93" s="151"/>
      <c r="L93" s="127"/>
    </row>
    <row r="94" spans="1:12" x14ac:dyDescent="0.25">
      <c r="B94" s="207" t="s">
        <v>30</v>
      </c>
      <c r="C94" s="208"/>
      <c r="D94" s="28" t="s">
        <v>27</v>
      </c>
      <c r="E94" s="28" t="s">
        <v>31</v>
      </c>
      <c r="F94" s="28" t="s">
        <v>28</v>
      </c>
      <c r="G94" s="28" t="s">
        <v>29</v>
      </c>
      <c r="H94" s="164" t="s">
        <v>23</v>
      </c>
      <c r="I94" s="164"/>
      <c r="J94" s="164"/>
      <c r="K94" s="164"/>
    </row>
    <row r="95" spans="1:12" ht="15.75" customHeight="1" x14ac:dyDescent="0.25">
      <c r="B95" s="190" t="s">
        <v>52</v>
      </c>
      <c r="C95" s="191"/>
      <c r="D95" s="23">
        <v>1010</v>
      </c>
      <c r="E95" s="23" t="s">
        <v>53</v>
      </c>
      <c r="F95" s="23">
        <v>3</v>
      </c>
      <c r="G95" s="23">
        <v>1</v>
      </c>
      <c r="H95" s="156" t="s">
        <v>55</v>
      </c>
      <c r="I95" s="156"/>
      <c r="J95" s="156"/>
      <c r="K95" s="156"/>
    </row>
    <row r="96" spans="1:12" ht="21" customHeight="1" x14ac:dyDescent="0.25">
      <c r="B96" s="222"/>
      <c r="C96" s="222"/>
      <c r="D96" s="48" t="s">
        <v>37</v>
      </c>
      <c r="E96" s="48" t="s">
        <v>38</v>
      </c>
      <c r="F96" s="48" t="s">
        <v>39</v>
      </c>
      <c r="G96" s="49" t="s">
        <v>40</v>
      </c>
      <c r="H96" s="157" t="s">
        <v>23</v>
      </c>
      <c r="I96" s="158"/>
      <c r="J96" s="158"/>
      <c r="K96" s="158"/>
    </row>
    <row r="97" spans="2:12" ht="15.75" customHeight="1" x14ac:dyDescent="0.25">
      <c r="B97" s="153" t="s">
        <v>13</v>
      </c>
      <c r="C97" s="50" t="s">
        <v>41</v>
      </c>
      <c r="D97" s="57"/>
      <c r="E97" s="57"/>
      <c r="F97" s="23">
        <v>1</v>
      </c>
      <c r="G97" s="58" t="s">
        <v>48</v>
      </c>
      <c r="H97" s="131"/>
      <c r="I97" s="132"/>
      <c r="J97" s="132"/>
      <c r="K97" s="133"/>
    </row>
    <row r="98" spans="2:12" ht="13.5" customHeight="1" x14ac:dyDescent="0.25">
      <c r="B98" s="154"/>
      <c r="C98" s="50" t="s">
        <v>42</v>
      </c>
      <c r="D98" s="57"/>
      <c r="E98" s="57"/>
      <c r="F98" s="23">
        <v>1</v>
      </c>
      <c r="G98" s="58" t="s">
        <v>48</v>
      </c>
      <c r="H98" s="134"/>
      <c r="I98" s="135"/>
      <c r="J98" s="135"/>
      <c r="K98" s="136"/>
    </row>
    <row r="99" spans="2:12" x14ac:dyDescent="0.25">
      <c r="B99" s="154"/>
      <c r="C99" s="50" t="s">
        <v>43</v>
      </c>
      <c r="D99" s="23"/>
      <c r="E99" s="23"/>
      <c r="F99" s="23">
        <v>1</v>
      </c>
      <c r="G99" s="58" t="s">
        <v>48</v>
      </c>
      <c r="H99" s="134"/>
      <c r="I99" s="135"/>
      <c r="J99" s="135"/>
      <c r="K99" s="136"/>
    </row>
    <row r="100" spans="2:12" x14ac:dyDescent="0.25">
      <c r="B100" s="155"/>
      <c r="C100" s="50" t="s">
        <v>44</v>
      </c>
      <c r="D100" s="23"/>
      <c r="E100" s="23"/>
      <c r="F100" s="23">
        <v>1</v>
      </c>
      <c r="G100" s="58" t="s">
        <v>48</v>
      </c>
      <c r="H100" s="137"/>
      <c r="I100" s="138"/>
      <c r="J100" s="138"/>
      <c r="K100" s="139"/>
    </row>
    <row r="101" spans="2:12" x14ac:dyDescent="0.25">
      <c r="B101" s="1"/>
      <c r="C101" s="1"/>
      <c r="D101" s="1"/>
      <c r="E101" s="2"/>
      <c r="F101" s="2"/>
      <c r="G101" s="1"/>
      <c r="H101" s="1"/>
      <c r="I101" s="1"/>
      <c r="J101" s="1"/>
      <c r="K101" s="1"/>
    </row>
    <row r="102" spans="2:12" x14ac:dyDescent="0.25">
      <c r="B102" s="165" t="s">
        <v>91</v>
      </c>
      <c r="C102" s="166"/>
      <c r="D102" s="166"/>
      <c r="E102" s="166"/>
      <c r="F102" s="166"/>
      <c r="G102" s="166"/>
      <c r="H102" s="166"/>
      <c r="I102" s="166"/>
      <c r="J102" s="166"/>
      <c r="K102" s="167"/>
    </row>
    <row r="103" spans="2:12" ht="24" x14ac:dyDescent="0.25">
      <c r="B103" s="13" t="s">
        <v>4</v>
      </c>
      <c r="C103" s="94" t="s">
        <v>92</v>
      </c>
      <c r="D103" s="94" t="s">
        <v>93</v>
      </c>
      <c r="E103" s="14" t="s">
        <v>20</v>
      </c>
      <c r="F103" s="95" t="s">
        <v>94</v>
      </c>
      <c r="G103" s="168" t="s">
        <v>95</v>
      </c>
      <c r="H103" s="168"/>
      <c r="I103" s="168"/>
      <c r="J103" s="168"/>
      <c r="K103" s="168"/>
    </row>
    <row r="104" spans="2:12" x14ac:dyDescent="0.25">
      <c r="B104" s="13" t="s">
        <v>98</v>
      </c>
      <c r="C104" s="94"/>
      <c r="D104" s="94"/>
      <c r="E104" s="14"/>
      <c r="F104" s="95"/>
      <c r="G104" s="96"/>
      <c r="H104" s="97"/>
      <c r="I104" s="97"/>
      <c r="J104" s="97"/>
      <c r="K104" s="98"/>
    </row>
    <row r="105" spans="2:12" ht="15.75" x14ac:dyDescent="0.25">
      <c r="B105" s="36"/>
      <c r="C105" s="37"/>
      <c r="D105" s="35"/>
      <c r="E105" s="35"/>
      <c r="F105" s="35"/>
      <c r="G105" s="38"/>
      <c r="H105" s="140"/>
      <c r="I105" s="141"/>
      <c r="J105" s="141"/>
      <c r="K105" s="141"/>
    </row>
    <row r="106" spans="2:12" ht="15" customHeight="1" x14ac:dyDescent="0.25">
      <c r="B106" s="103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</row>
    <row r="107" spans="2:12" x14ac:dyDescent="0.25">
      <c r="B107" s="104"/>
      <c r="E107" s="104"/>
      <c r="F107" s="104"/>
      <c r="G107" s="104"/>
      <c r="H107" s="104"/>
      <c r="I107" s="104"/>
      <c r="J107" s="104"/>
      <c r="K107" s="104"/>
      <c r="L107" s="104"/>
    </row>
    <row r="108" spans="2:12" x14ac:dyDescent="0.25"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</row>
    <row r="109" spans="2:12" x14ac:dyDescent="0.25"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</row>
    <row r="110" spans="2:12" x14ac:dyDescent="0.25"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</row>
    <row r="111" spans="2:12" ht="15.75" x14ac:dyDescent="0.25">
      <c r="B111" s="223" t="s">
        <v>76</v>
      </c>
      <c r="C111" s="223"/>
      <c r="D111" s="104"/>
      <c r="E111" s="104"/>
      <c r="F111" s="104"/>
      <c r="G111" s="104"/>
      <c r="H111" s="104"/>
      <c r="I111" s="104"/>
      <c r="J111" s="104"/>
      <c r="K111" s="104"/>
      <c r="L111" s="104"/>
    </row>
    <row r="112" spans="2:12" x14ac:dyDescent="0.25"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</row>
    <row r="113" spans="2:12" x14ac:dyDescent="0.25"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</row>
    <row r="114" spans="2:12" x14ac:dyDescent="0.25"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</row>
    <row r="115" spans="2:12" x14ac:dyDescent="0.25"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</row>
    <row r="116" spans="2:12" x14ac:dyDescent="0.25"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</row>
    <row r="117" spans="2:12" ht="32.25" customHeight="1" x14ac:dyDescent="0.25">
      <c r="B117" s="63"/>
      <c r="C117" s="63"/>
      <c r="D117" s="63"/>
      <c r="E117" s="64"/>
      <c r="F117" s="64"/>
      <c r="G117" s="63"/>
      <c r="H117" s="63"/>
      <c r="I117" s="63"/>
      <c r="J117" s="63"/>
      <c r="K117" s="63"/>
      <c r="L117" s="63"/>
    </row>
    <row r="118" spans="2:12" ht="28.5" customHeight="1" x14ac:dyDescent="0.25">
      <c r="B118" s="63"/>
      <c r="C118" s="63"/>
      <c r="D118" s="63"/>
      <c r="E118" s="64"/>
      <c r="F118" s="64"/>
      <c r="G118" s="63"/>
      <c r="H118" s="63"/>
      <c r="I118" s="63"/>
      <c r="J118" s="63"/>
      <c r="K118" s="63"/>
      <c r="L118" s="63"/>
    </row>
    <row r="120" spans="2:12" ht="15.75" x14ac:dyDescent="0.25">
      <c r="B120" s="152" t="s">
        <v>69</v>
      </c>
      <c r="C120" s="152"/>
      <c r="D120" s="152"/>
      <c r="E120" s="152"/>
      <c r="F120" s="152"/>
      <c r="G120" s="152"/>
      <c r="H120" s="152"/>
      <c r="I120" s="152"/>
      <c r="J120" s="63"/>
      <c r="K120" s="63"/>
      <c r="L120" s="63"/>
    </row>
    <row r="121" spans="2:12" x14ac:dyDescent="0.25">
      <c r="B121" s="19" t="s">
        <v>14</v>
      </c>
      <c r="C121" s="19" t="s">
        <v>13</v>
      </c>
      <c r="D121" s="126" t="s">
        <v>70</v>
      </c>
      <c r="E121" s="127"/>
      <c r="F121" s="126" t="s">
        <v>71</v>
      </c>
      <c r="G121" s="127"/>
      <c r="H121" s="126" t="s">
        <v>72</v>
      </c>
      <c r="I121" s="127"/>
      <c r="J121" s="63"/>
      <c r="K121" s="63"/>
      <c r="L121" s="63"/>
    </row>
    <row r="122" spans="2:12" x14ac:dyDescent="0.25">
      <c r="B122" s="60"/>
      <c r="C122" s="60"/>
      <c r="D122" s="72"/>
      <c r="E122" s="73"/>
      <c r="F122" s="72"/>
      <c r="G122" s="73"/>
      <c r="H122" s="72"/>
      <c r="I122" s="73"/>
      <c r="J122" s="63"/>
      <c r="K122" s="63"/>
      <c r="L122" s="63"/>
    </row>
    <row r="123" spans="2:12" x14ac:dyDescent="0.25">
      <c r="B123" s="81"/>
      <c r="C123" s="81"/>
      <c r="D123" s="87"/>
      <c r="E123" s="87"/>
      <c r="F123" s="87"/>
      <c r="G123" s="87"/>
      <c r="H123" s="87"/>
      <c r="I123" s="87"/>
      <c r="J123" s="63"/>
      <c r="K123" s="63"/>
      <c r="L123" s="63"/>
    </row>
    <row r="124" spans="2:12" x14ac:dyDescent="0.25">
      <c r="B124" s="81"/>
      <c r="C124" s="81"/>
      <c r="D124" s="87"/>
      <c r="E124" s="87"/>
      <c r="F124" s="87"/>
      <c r="G124" s="87"/>
      <c r="H124" s="87"/>
      <c r="I124" s="87"/>
      <c r="J124" s="63"/>
      <c r="K124" s="63"/>
      <c r="L124" s="63"/>
    </row>
    <row r="125" spans="2:12" x14ac:dyDescent="0.25">
      <c r="B125" s="81"/>
      <c r="C125" s="81"/>
      <c r="D125" s="87"/>
      <c r="E125" s="87"/>
      <c r="F125" s="87"/>
      <c r="G125" s="87"/>
      <c r="H125" s="87"/>
      <c r="I125" s="87"/>
      <c r="J125" s="63"/>
      <c r="K125" s="63"/>
      <c r="L125" s="63"/>
    </row>
    <row r="126" spans="2:12" x14ac:dyDescent="0.25">
      <c r="B126" s="81"/>
      <c r="C126" s="81"/>
      <c r="D126" s="87"/>
      <c r="E126" s="87"/>
      <c r="F126" s="87"/>
      <c r="G126" s="87"/>
      <c r="H126" s="87"/>
      <c r="I126" s="87"/>
      <c r="J126" s="63"/>
      <c r="K126" s="63"/>
      <c r="L126" s="63"/>
    </row>
    <row r="127" spans="2:12" x14ac:dyDescent="0.25">
      <c r="B127" s="81"/>
      <c r="C127" s="81"/>
      <c r="D127" s="87"/>
      <c r="E127" s="87"/>
      <c r="F127" s="87"/>
      <c r="G127" s="87"/>
      <c r="H127" s="87"/>
      <c r="I127" s="87"/>
      <c r="J127" s="63"/>
      <c r="K127" s="63"/>
      <c r="L127" s="63"/>
    </row>
    <row r="128" spans="2:12" x14ac:dyDescent="0.25">
      <c r="B128" s="81"/>
      <c r="C128" s="81"/>
      <c r="D128" s="87"/>
      <c r="E128" s="87"/>
      <c r="F128" s="87"/>
      <c r="G128" s="87"/>
      <c r="H128" s="87"/>
      <c r="I128" s="87"/>
      <c r="J128" s="63"/>
      <c r="K128" s="63"/>
      <c r="L128" s="63"/>
    </row>
    <row r="129" spans="1:12" x14ac:dyDescent="0.25">
      <c r="B129" s="81"/>
      <c r="C129" s="81"/>
      <c r="D129" s="87"/>
      <c r="E129" s="87"/>
      <c r="F129" s="87"/>
      <c r="G129" s="87"/>
      <c r="H129" s="87"/>
      <c r="I129" s="87"/>
      <c r="J129" s="63"/>
      <c r="K129" s="63"/>
      <c r="L129" s="63"/>
    </row>
    <row r="130" spans="1:12" ht="24.75" customHeight="1" x14ac:dyDescent="0.25">
      <c r="B130" s="18" t="s">
        <v>0</v>
      </c>
      <c r="C130" s="18"/>
      <c r="D130" s="18"/>
      <c r="E130" s="18"/>
      <c r="F130" s="18"/>
      <c r="G130" s="18"/>
      <c r="H130" s="18"/>
      <c r="I130" s="18"/>
      <c r="J130" s="142" t="s">
        <v>16</v>
      </c>
      <c r="K130" s="142"/>
      <c r="L130" s="142"/>
    </row>
    <row r="131" spans="1:12" ht="30" customHeight="1" x14ac:dyDescent="0.25">
      <c r="B131" s="18"/>
      <c r="C131" s="18"/>
      <c r="D131" s="18"/>
      <c r="E131" s="18"/>
      <c r="F131" s="18"/>
      <c r="G131" s="18"/>
      <c r="H131" s="18"/>
      <c r="I131" s="18"/>
      <c r="J131" s="186">
        <f>I2</f>
        <v>520</v>
      </c>
      <c r="K131" s="186"/>
      <c r="L131" s="186"/>
    </row>
    <row r="132" spans="1:12" ht="26.25" customHeight="1" x14ac:dyDescent="0.25">
      <c r="B132" s="4" t="s">
        <v>21</v>
      </c>
      <c r="C132" s="5"/>
      <c r="D132" s="6" t="s">
        <v>3</v>
      </c>
      <c r="E132" s="26" t="s">
        <v>34</v>
      </c>
      <c r="F132" s="17" t="s">
        <v>4</v>
      </c>
      <c r="G132" s="123" t="str">
        <f>G3</f>
        <v>AD1001</v>
      </c>
      <c r="H132" s="124"/>
      <c r="I132" s="11" t="s">
        <v>6</v>
      </c>
      <c r="J132" s="11"/>
      <c r="K132" s="113">
        <f>K3</f>
        <v>20</v>
      </c>
      <c r="L132" s="113"/>
    </row>
    <row r="133" spans="1:12" ht="12.75" customHeight="1" x14ac:dyDescent="0.25">
      <c r="B133" s="121">
        <f ca="1">TODAY()</f>
        <v>46171</v>
      </c>
      <c r="C133" s="122"/>
      <c r="D133" s="205" t="s">
        <v>1</v>
      </c>
      <c r="E133" s="159" t="s">
        <v>34</v>
      </c>
      <c r="F133" s="7" t="s">
        <v>5</v>
      </c>
      <c r="G133" s="9"/>
      <c r="H133" s="9"/>
      <c r="I133" s="10"/>
      <c r="J133" s="10"/>
      <c r="K133" s="8"/>
      <c r="L133" s="8"/>
    </row>
    <row r="134" spans="1:12" ht="22.5" customHeight="1" x14ac:dyDescent="0.25">
      <c r="B134" s="16" t="s">
        <v>2</v>
      </c>
      <c r="C134" s="15">
        <f ca="1">B133+30</f>
        <v>46201</v>
      </c>
      <c r="D134" s="206"/>
      <c r="E134" s="160"/>
      <c r="F134" s="220" t="str">
        <f>F5</f>
        <v>Engate Fixo Audi A3 Sedan 2012 até 2019</v>
      </c>
      <c r="G134" s="221"/>
      <c r="H134" s="221"/>
      <c r="I134" s="221"/>
      <c r="J134" s="221"/>
      <c r="K134" s="221"/>
      <c r="L134" s="221"/>
    </row>
    <row r="135" spans="1:12" ht="19.5" x14ac:dyDescent="0.3">
      <c r="A135" s="1"/>
      <c r="B135" s="171" t="s">
        <v>77</v>
      </c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</row>
    <row r="136" spans="1:12" ht="22.5" x14ac:dyDescent="0.25">
      <c r="A136" s="3"/>
      <c r="B136" s="13" t="s">
        <v>4</v>
      </c>
      <c r="C136" s="172" t="s">
        <v>8</v>
      </c>
      <c r="D136" s="172"/>
      <c r="E136" s="105" t="s">
        <v>10</v>
      </c>
      <c r="F136" s="106" t="s">
        <v>101</v>
      </c>
      <c r="G136" s="146" t="s">
        <v>22</v>
      </c>
      <c r="H136" s="147"/>
      <c r="I136" s="148"/>
      <c r="J136" s="148"/>
      <c r="K136" s="148"/>
      <c r="L136" s="148"/>
    </row>
    <row r="137" spans="1:12" ht="39" customHeight="1" x14ac:dyDescent="0.25">
      <c r="A137" s="114" t="s">
        <v>19</v>
      </c>
      <c r="B137" s="115" t="s">
        <v>99</v>
      </c>
      <c r="C137" s="115" t="s">
        <v>36</v>
      </c>
      <c r="D137" s="115"/>
      <c r="E137" s="210">
        <v>1</v>
      </c>
      <c r="F137" s="210">
        <f>E137*K132</f>
        <v>20</v>
      </c>
      <c r="G137" s="119" t="s">
        <v>14</v>
      </c>
      <c r="H137" s="120"/>
      <c r="I137" s="116"/>
      <c r="J137" s="117"/>
      <c r="K137" s="117"/>
      <c r="L137" s="118"/>
    </row>
    <row r="138" spans="1:12" ht="39" customHeight="1" x14ac:dyDescent="0.25">
      <c r="A138" s="114"/>
      <c r="B138" s="115"/>
      <c r="C138" s="115"/>
      <c r="D138" s="115"/>
      <c r="E138" s="211"/>
      <c r="F138" s="211"/>
      <c r="G138" s="112" t="s">
        <v>80</v>
      </c>
      <c r="H138" s="112"/>
      <c r="I138" s="116"/>
      <c r="J138" s="117"/>
      <c r="K138" s="117"/>
      <c r="L138" s="118"/>
    </row>
    <row r="140" spans="1:12" x14ac:dyDescent="0.25">
      <c r="B140" s="207" t="s">
        <v>30</v>
      </c>
      <c r="C140" s="208"/>
      <c r="D140" s="28" t="s">
        <v>27</v>
      </c>
      <c r="E140" s="24" t="s">
        <v>32</v>
      </c>
      <c r="F140" s="28" t="s">
        <v>28</v>
      </c>
      <c r="G140" s="28" t="s">
        <v>29</v>
      </c>
      <c r="H140" s="164" t="s">
        <v>23</v>
      </c>
      <c r="I140" s="164"/>
      <c r="J140" s="164"/>
      <c r="K140" s="164"/>
    </row>
    <row r="141" spans="1:12" ht="15.75" x14ac:dyDescent="0.25">
      <c r="B141" s="233" t="s">
        <v>57</v>
      </c>
      <c r="C141" s="233"/>
      <c r="D141" s="23">
        <v>240</v>
      </c>
      <c r="E141" s="23" t="s">
        <v>56</v>
      </c>
      <c r="F141" s="23">
        <v>3.75</v>
      </c>
      <c r="G141" s="23">
        <v>1</v>
      </c>
      <c r="H141" s="156" t="s">
        <v>65</v>
      </c>
      <c r="I141" s="156"/>
      <c r="J141" s="156"/>
      <c r="K141" s="156"/>
    </row>
    <row r="142" spans="1:12" ht="3.75" customHeight="1" x14ac:dyDescent="0.25"/>
    <row r="143" spans="1:12" x14ac:dyDescent="0.25">
      <c r="B143" s="165" t="s">
        <v>91</v>
      </c>
      <c r="C143" s="166"/>
      <c r="D143" s="166"/>
      <c r="E143" s="166"/>
      <c r="F143" s="166"/>
      <c r="G143" s="166"/>
      <c r="H143" s="166"/>
      <c r="I143" s="166"/>
      <c r="J143" s="166"/>
      <c r="K143" s="167"/>
    </row>
    <row r="144" spans="1:12" ht="24" x14ac:dyDescent="0.25">
      <c r="B144" s="13" t="s">
        <v>4</v>
      </c>
      <c r="C144" s="94" t="s">
        <v>92</v>
      </c>
      <c r="D144" s="94" t="s">
        <v>93</v>
      </c>
      <c r="E144" s="14" t="s">
        <v>20</v>
      </c>
      <c r="F144" s="95" t="s">
        <v>94</v>
      </c>
      <c r="G144" s="168" t="s">
        <v>95</v>
      </c>
      <c r="H144" s="168"/>
      <c r="I144" s="168"/>
      <c r="J144" s="168"/>
      <c r="K144" s="168"/>
    </row>
    <row r="145" spans="2:11" x14ac:dyDescent="0.25">
      <c r="B145" s="13" t="s">
        <v>99</v>
      </c>
      <c r="C145" s="94"/>
      <c r="D145" s="94"/>
      <c r="E145" s="14"/>
      <c r="F145" s="95"/>
      <c r="G145" s="96"/>
      <c r="H145" s="97"/>
      <c r="I145" s="97"/>
      <c r="J145" s="97"/>
      <c r="K145" s="98"/>
    </row>
    <row r="146" spans="2:11" ht="17.25" x14ac:dyDescent="0.3">
      <c r="B146" s="39"/>
      <c r="C146" s="40"/>
      <c r="D146" s="40"/>
      <c r="E146" s="41"/>
      <c r="F146" s="41"/>
      <c r="G146" s="40"/>
    </row>
    <row r="147" spans="2:11" ht="17.25" x14ac:dyDescent="0.3">
      <c r="B147" s="39"/>
      <c r="C147" s="39" t="s">
        <v>25</v>
      </c>
      <c r="D147" s="40"/>
      <c r="E147" s="41"/>
      <c r="F147" s="41"/>
      <c r="G147" s="40"/>
    </row>
    <row r="148" spans="2:11" ht="17.25" x14ac:dyDescent="0.3">
      <c r="B148" s="39"/>
      <c r="C148" s="40"/>
      <c r="D148" s="40"/>
      <c r="E148" s="41"/>
      <c r="F148" s="41"/>
      <c r="G148" s="40"/>
    </row>
    <row r="149" spans="2:11" ht="17.25" x14ac:dyDescent="0.3">
      <c r="B149" s="39"/>
      <c r="C149" s="40"/>
      <c r="D149" s="40"/>
      <c r="E149" s="41"/>
      <c r="F149" s="41"/>
      <c r="G149" s="40"/>
    </row>
    <row r="150" spans="2:11" ht="17.25" x14ac:dyDescent="0.3">
      <c r="B150" s="39"/>
      <c r="C150" s="40"/>
      <c r="D150" s="40"/>
      <c r="E150" s="41"/>
      <c r="F150" s="41"/>
      <c r="G150" s="40"/>
    </row>
    <row r="151" spans="2:11" ht="17.25" x14ac:dyDescent="0.3">
      <c r="B151" s="39"/>
      <c r="C151" s="40"/>
      <c r="D151" s="40"/>
      <c r="E151" s="41"/>
      <c r="F151" s="41"/>
      <c r="G151" s="40"/>
    </row>
    <row r="152" spans="2:11" ht="69.75" customHeight="1" x14ac:dyDescent="0.25"/>
    <row r="153" spans="2:11" ht="24" customHeight="1" x14ac:dyDescent="0.25"/>
    <row r="156" spans="2:11" ht="17.25" x14ac:dyDescent="0.25">
      <c r="B156" s="39"/>
    </row>
    <row r="158" spans="2:11" ht="18" customHeight="1" x14ac:dyDescent="0.25"/>
    <row r="159" spans="2:11" ht="21" customHeight="1" x14ac:dyDescent="0.25">
      <c r="C159" s="42" t="s">
        <v>78</v>
      </c>
      <c r="D159" s="42" t="s">
        <v>79</v>
      </c>
    </row>
    <row r="160" spans="2:11" ht="21" customHeight="1" x14ac:dyDescent="0.25">
      <c r="C160" s="42"/>
      <c r="D160" s="42"/>
    </row>
    <row r="161" spans="1:12" ht="33.6" customHeight="1" x14ac:dyDescent="0.25">
      <c r="B161" s="152" t="s">
        <v>69</v>
      </c>
      <c r="C161" s="152"/>
      <c r="D161" s="152"/>
      <c r="E161" s="152"/>
      <c r="F161" s="152"/>
      <c r="G161" s="152"/>
      <c r="H161" s="152"/>
      <c r="I161" s="152"/>
    </row>
    <row r="162" spans="1:12" ht="24.75" customHeight="1" x14ac:dyDescent="0.25">
      <c r="B162" s="19" t="s">
        <v>14</v>
      </c>
      <c r="C162" s="19" t="s">
        <v>13</v>
      </c>
      <c r="D162" s="126" t="s">
        <v>70</v>
      </c>
      <c r="E162" s="127"/>
      <c r="F162" s="126" t="s">
        <v>71</v>
      </c>
      <c r="G162" s="127"/>
      <c r="H162" s="126" t="s">
        <v>72</v>
      </c>
      <c r="I162" s="127"/>
    </row>
    <row r="163" spans="1:12" ht="24.75" customHeight="1" x14ac:dyDescent="0.25">
      <c r="B163" s="60"/>
      <c r="C163" s="60"/>
      <c r="D163" s="72"/>
      <c r="E163" s="73"/>
      <c r="F163" s="72"/>
      <c r="G163" s="73"/>
      <c r="H163" s="72"/>
      <c r="I163" s="73"/>
    </row>
    <row r="164" spans="1:12" ht="24.75" customHeight="1" x14ac:dyDescent="0.25">
      <c r="B164" s="81"/>
      <c r="C164" s="81"/>
      <c r="D164" s="87"/>
      <c r="E164" s="87"/>
      <c r="F164" s="87"/>
      <c r="G164" s="87"/>
      <c r="H164" s="87"/>
      <c r="I164" s="87"/>
    </row>
    <row r="165" spans="1:12" ht="24.75" customHeight="1" x14ac:dyDescent="0.25">
      <c r="B165" s="81"/>
      <c r="C165" s="81"/>
      <c r="D165" s="87"/>
      <c r="E165" s="87"/>
      <c r="F165" s="87"/>
      <c r="G165" s="87"/>
      <c r="H165" s="87"/>
      <c r="I165" s="87"/>
    </row>
    <row r="166" spans="1:12" ht="24.75" customHeight="1" x14ac:dyDescent="0.25">
      <c r="B166" s="81"/>
      <c r="C166" s="81"/>
      <c r="D166" s="87"/>
      <c r="E166" s="87"/>
      <c r="F166" s="87"/>
      <c r="G166" s="87"/>
      <c r="H166" s="87"/>
      <c r="I166" s="87"/>
    </row>
    <row r="167" spans="1:12" ht="25.5" customHeight="1" x14ac:dyDescent="0.25">
      <c r="B167" s="18" t="s">
        <v>0</v>
      </c>
      <c r="C167" s="18"/>
      <c r="D167" s="18"/>
      <c r="E167" s="18"/>
      <c r="F167" s="18"/>
      <c r="G167" s="18"/>
      <c r="H167" s="18"/>
      <c r="I167" s="18"/>
      <c r="J167" s="142" t="s">
        <v>16</v>
      </c>
      <c r="K167" s="142"/>
      <c r="L167" s="142"/>
    </row>
    <row r="168" spans="1:12" ht="27" customHeight="1" x14ac:dyDescent="0.25">
      <c r="B168" s="18"/>
      <c r="C168" s="18"/>
      <c r="D168" s="18"/>
      <c r="E168" s="18"/>
      <c r="F168" s="18"/>
      <c r="G168" s="18"/>
      <c r="H168" s="18"/>
      <c r="I168" s="18"/>
      <c r="J168" s="186">
        <f>I2</f>
        <v>520</v>
      </c>
      <c r="K168" s="186"/>
      <c r="L168" s="186"/>
    </row>
    <row r="169" spans="1:12" ht="27" customHeight="1" x14ac:dyDescent="0.25">
      <c r="B169" s="4" t="s">
        <v>21</v>
      </c>
      <c r="C169" s="5"/>
      <c r="D169" s="6" t="s">
        <v>3</v>
      </c>
      <c r="E169" s="26" t="s">
        <v>34</v>
      </c>
      <c r="F169" s="17" t="s">
        <v>4</v>
      </c>
      <c r="G169" s="123" t="str">
        <f>G3</f>
        <v>AD1001</v>
      </c>
      <c r="H169" s="124"/>
      <c r="I169" s="11" t="s">
        <v>6</v>
      </c>
      <c r="J169" s="11"/>
      <c r="K169" s="113">
        <f>K3</f>
        <v>20</v>
      </c>
      <c r="L169" s="113"/>
    </row>
    <row r="170" spans="1:12" ht="12.75" customHeight="1" x14ac:dyDescent="0.25">
      <c r="B170" s="121">
        <f ca="1">TODAY()</f>
        <v>46171</v>
      </c>
      <c r="C170" s="122"/>
      <c r="D170" s="205" t="s">
        <v>1</v>
      </c>
      <c r="E170" s="159" t="s">
        <v>34</v>
      </c>
      <c r="F170" s="7" t="s">
        <v>5</v>
      </c>
      <c r="G170" s="9"/>
      <c r="H170" s="9"/>
      <c r="I170" s="10"/>
      <c r="J170" s="10"/>
      <c r="K170" s="8"/>
      <c r="L170" s="8"/>
    </row>
    <row r="171" spans="1:12" ht="23.25" customHeight="1" x14ac:dyDescent="0.25">
      <c r="B171" s="16" t="s">
        <v>2</v>
      </c>
      <c r="C171" s="15">
        <f ca="1">B170+30</f>
        <v>46201</v>
      </c>
      <c r="D171" s="206"/>
      <c r="E171" s="160"/>
      <c r="F171" s="220" t="str">
        <f>F5</f>
        <v>Engate Fixo Audi A3 Sedan 2012 até 2019</v>
      </c>
      <c r="G171" s="221"/>
      <c r="H171" s="221"/>
      <c r="I171" s="221"/>
      <c r="J171" s="221"/>
      <c r="K171" s="221"/>
      <c r="L171" s="221"/>
    </row>
    <row r="172" spans="1:12" ht="19.5" x14ac:dyDescent="0.3">
      <c r="A172" s="1"/>
      <c r="B172" s="171" t="s">
        <v>58</v>
      </c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</row>
    <row r="173" spans="1:12" ht="22.5" x14ac:dyDescent="0.25">
      <c r="A173" s="3"/>
      <c r="B173" s="13" t="s">
        <v>4</v>
      </c>
      <c r="C173" s="172" t="s">
        <v>8</v>
      </c>
      <c r="D173" s="172"/>
      <c r="E173" s="105" t="s">
        <v>10</v>
      </c>
      <c r="F173" s="106" t="s">
        <v>101</v>
      </c>
      <c r="G173" s="146" t="s">
        <v>22</v>
      </c>
      <c r="H173" s="147"/>
      <c r="I173" s="148"/>
      <c r="J173" s="148"/>
      <c r="K173" s="148"/>
      <c r="L173" s="148"/>
    </row>
    <row r="174" spans="1:12" ht="42.75" x14ac:dyDescent="0.25">
      <c r="A174" s="109" t="s">
        <v>50</v>
      </c>
      <c r="B174" s="54" t="s">
        <v>100</v>
      </c>
      <c r="C174" s="173" t="s">
        <v>51</v>
      </c>
      <c r="D174" s="174"/>
      <c r="E174" s="42">
        <v>1</v>
      </c>
      <c r="F174" s="42">
        <f>E174*$K$3</f>
        <v>20</v>
      </c>
      <c r="G174" s="162" t="s">
        <v>14</v>
      </c>
      <c r="H174" s="163"/>
      <c r="I174" s="187" t="s">
        <v>35</v>
      </c>
      <c r="J174" s="188"/>
      <c r="K174" s="188"/>
      <c r="L174" s="189"/>
    </row>
    <row r="175" spans="1:12" x14ac:dyDescent="0.25">
      <c r="B175" s="207" t="s">
        <v>30</v>
      </c>
      <c r="C175" s="208"/>
      <c r="D175" s="28" t="s">
        <v>27</v>
      </c>
      <c r="E175" s="24" t="s">
        <v>32</v>
      </c>
      <c r="F175" s="28" t="s">
        <v>28</v>
      </c>
      <c r="G175" s="28" t="s">
        <v>29</v>
      </c>
      <c r="H175" s="164" t="s">
        <v>23</v>
      </c>
      <c r="I175" s="164"/>
      <c r="J175" s="164"/>
      <c r="K175" s="164"/>
    </row>
    <row r="176" spans="1:12" ht="15.75" x14ac:dyDescent="0.25">
      <c r="B176" s="169" t="s">
        <v>50</v>
      </c>
      <c r="C176" s="170"/>
      <c r="D176" s="23">
        <v>100</v>
      </c>
      <c r="E176" s="23">
        <v>75</v>
      </c>
      <c r="F176" s="23">
        <v>3</v>
      </c>
      <c r="G176" s="23">
        <v>1</v>
      </c>
      <c r="H176" s="156" t="s">
        <v>81</v>
      </c>
      <c r="I176" s="156"/>
      <c r="J176" s="156"/>
      <c r="K176" s="156"/>
    </row>
    <row r="177" spans="2:13" ht="15.75" x14ac:dyDescent="0.25">
      <c r="B177" s="76"/>
      <c r="C177" s="76"/>
      <c r="D177" s="21"/>
      <c r="E177" s="21"/>
      <c r="F177" s="21"/>
      <c r="G177" s="21"/>
      <c r="H177" s="21"/>
      <c r="I177" s="21"/>
      <c r="J177" s="21"/>
      <c r="K177" s="21"/>
    </row>
    <row r="178" spans="2:13" x14ac:dyDescent="0.25">
      <c r="B178" s="165" t="s">
        <v>91</v>
      </c>
      <c r="C178" s="166"/>
      <c r="D178" s="166"/>
      <c r="E178" s="166"/>
      <c r="F178" s="166"/>
      <c r="G178" s="166"/>
      <c r="H178" s="166"/>
      <c r="I178" s="166"/>
      <c r="J178" s="166"/>
      <c r="K178" s="167"/>
    </row>
    <row r="179" spans="2:13" ht="24" x14ac:dyDescent="0.25">
      <c r="B179" s="13" t="s">
        <v>4</v>
      </c>
      <c r="C179" s="94" t="s">
        <v>92</v>
      </c>
      <c r="D179" s="94" t="s">
        <v>93</v>
      </c>
      <c r="E179" s="14" t="s">
        <v>20</v>
      </c>
      <c r="F179" s="95" t="s">
        <v>94</v>
      </c>
      <c r="G179" s="168" t="s">
        <v>95</v>
      </c>
      <c r="H179" s="168"/>
      <c r="I179" s="168"/>
      <c r="J179" s="168"/>
      <c r="K179" s="168"/>
    </row>
    <row r="180" spans="2:13" x14ac:dyDescent="0.25">
      <c r="B180" s="13" t="s">
        <v>100</v>
      </c>
      <c r="C180" s="94"/>
      <c r="D180" s="94"/>
      <c r="E180" s="14"/>
      <c r="F180" s="95"/>
      <c r="G180" s="96"/>
      <c r="H180" s="97"/>
      <c r="I180" s="97"/>
      <c r="J180" s="97"/>
      <c r="K180" s="98"/>
    </row>
    <row r="181" spans="2:13" ht="6.75" customHeight="1" x14ac:dyDescent="0.25"/>
    <row r="182" spans="2:13" ht="18" thickBot="1" x14ac:dyDescent="0.35">
      <c r="B182" s="39"/>
      <c r="C182" s="40"/>
      <c r="D182" s="40"/>
      <c r="E182" s="41"/>
      <c r="F182" s="41"/>
      <c r="G182" s="40"/>
    </row>
    <row r="183" spans="2:13" ht="18" thickTop="1" x14ac:dyDescent="0.3">
      <c r="B183" s="39"/>
      <c r="C183" s="40"/>
      <c r="D183" s="40"/>
      <c r="E183" s="41"/>
      <c r="F183" s="41"/>
      <c r="G183" s="40"/>
      <c r="K183" s="175" t="s">
        <v>104</v>
      </c>
      <c r="L183" s="176"/>
      <c r="M183" s="111"/>
    </row>
    <row r="184" spans="2:13" ht="17.25" x14ac:dyDescent="0.3">
      <c r="B184" s="39"/>
      <c r="C184" s="40"/>
      <c r="D184" s="40"/>
      <c r="E184" s="41"/>
      <c r="F184" s="41"/>
      <c r="G184" s="40"/>
      <c r="K184" s="177"/>
      <c r="L184" s="178"/>
      <c r="M184" s="111"/>
    </row>
    <row r="185" spans="2:13" ht="18" thickBot="1" x14ac:dyDescent="0.35">
      <c r="B185" s="39"/>
      <c r="C185" s="40"/>
      <c r="D185" s="40"/>
      <c r="E185" s="41"/>
      <c r="F185" s="41"/>
      <c r="G185" s="40"/>
      <c r="K185" s="179"/>
      <c r="L185" s="180"/>
      <c r="M185" s="111"/>
    </row>
    <row r="186" spans="2:13" ht="18" thickTop="1" x14ac:dyDescent="0.3">
      <c r="B186" s="39" t="s">
        <v>25</v>
      </c>
      <c r="C186" s="40"/>
      <c r="D186" s="40"/>
      <c r="E186" s="41"/>
      <c r="F186" s="41"/>
      <c r="G186" s="40"/>
      <c r="K186" s="110"/>
      <c r="L186" s="110"/>
    </row>
    <row r="187" spans="2:13" ht="17.25" x14ac:dyDescent="0.3">
      <c r="B187" s="39"/>
      <c r="C187" s="40"/>
      <c r="D187" s="40"/>
      <c r="E187" s="41"/>
      <c r="F187" s="41"/>
      <c r="G187" s="40"/>
    </row>
    <row r="188" spans="2:13" ht="17.25" x14ac:dyDescent="0.3">
      <c r="B188" s="39"/>
      <c r="C188" s="40"/>
      <c r="D188" s="40"/>
      <c r="E188" s="41"/>
      <c r="F188" s="41"/>
      <c r="G188" s="40"/>
    </row>
    <row r="189" spans="2:13" ht="17.25" x14ac:dyDescent="0.3">
      <c r="B189" s="39"/>
      <c r="C189" s="40"/>
      <c r="D189" s="40"/>
      <c r="E189" s="41"/>
      <c r="F189" s="41"/>
      <c r="G189" s="40"/>
    </row>
    <row r="190" spans="2:13" ht="17.25" x14ac:dyDescent="0.3">
      <c r="B190" s="39"/>
      <c r="C190" s="40"/>
      <c r="D190" s="40"/>
      <c r="E190" s="41"/>
      <c r="F190" s="41"/>
      <c r="G190" s="40"/>
    </row>
    <row r="191" spans="2:13" ht="17.25" x14ac:dyDescent="0.3">
      <c r="B191" s="39"/>
      <c r="C191" s="40"/>
      <c r="D191" s="40"/>
      <c r="E191" s="41"/>
      <c r="F191" s="41"/>
      <c r="G191" s="40"/>
    </row>
    <row r="192" spans="2:13" ht="17.25" x14ac:dyDescent="0.3">
      <c r="B192" s="39"/>
      <c r="C192" s="40"/>
      <c r="D192" s="40"/>
      <c r="E192" s="41"/>
      <c r="F192" s="41"/>
      <c r="G192" s="40"/>
    </row>
    <row r="193" spans="2:11" ht="17.25" x14ac:dyDescent="0.3">
      <c r="B193" s="39"/>
      <c r="C193" s="40"/>
      <c r="D193" s="40"/>
      <c r="E193" s="41"/>
      <c r="F193" s="41"/>
      <c r="G193" s="40"/>
    </row>
    <row r="194" spans="2:11" ht="17.25" x14ac:dyDescent="0.3">
      <c r="B194" s="39"/>
      <c r="C194" s="40"/>
      <c r="D194" s="40"/>
      <c r="E194" s="41"/>
      <c r="F194" s="41"/>
      <c r="G194" s="40"/>
    </row>
    <row r="196" spans="2:11" ht="18.75" x14ac:dyDescent="0.3">
      <c r="J196" s="65"/>
    </row>
    <row r="197" spans="2:11" x14ac:dyDescent="0.25">
      <c r="B197" s="3"/>
      <c r="C197" s="21"/>
      <c r="D197" s="21"/>
      <c r="E197" s="21"/>
      <c r="F197" s="21"/>
      <c r="G197" s="21"/>
      <c r="H197" s="21"/>
      <c r="I197" s="21"/>
      <c r="J197" s="21"/>
      <c r="K197" s="21"/>
    </row>
    <row r="200" spans="2:11" x14ac:dyDescent="0.25">
      <c r="E200"/>
    </row>
    <row r="205" spans="2:11" x14ac:dyDescent="0.25">
      <c r="C205" s="42" t="s">
        <v>49</v>
      </c>
    </row>
    <row r="211" spans="2:12" ht="15.75" x14ac:dyDescent="0.25">
      <c r="B211" s="152" t="s">
        <v>69</v>
      </c>
      <c r="C211" s="152"/>
      <c r="D211" s="152"/>
      <c r="E211" s="152"/>
      <c r="F211" s="152"/>
      <c r="G211" s="152"/>
      <c r="H211" s="152"/>
      <c r="I211" s="152"/>
    </row>
    <row r="212" spans="2:12" x14ac:dyDescent="0.25">
      <c r="B212" s="19" t="s">
        <v>14</v>
      </c>
      <c r="C212" s="19" t="s">
        <v>13</v>
      </c>
      <c r="D212" s="126" t="s">
        <v>70</v>
      </c>
      <c r="E212" s="127"/>
      <c r="F212" s="126" t="s">
        <v>71</v>
      </c>
      <c r="G212" s="127"/>
      <c r="H212" s="126" t="s">
        <v>72</v>
      </c>
      <c r="I212" s="127"/>
    </row>
    <row r="213" spans="2:12" x14ac:dyDescent="0.25">
      <c r="B213" s="60"/>
      <c r="C213" s="60"/>
      <c r="D213" s="72"/>
      <c r="E213" s="73"/>
      <c r="F213" s="72"/>
      <c r="G213" s="73"/>
      <c r="H213" s="72"/>
      <c r="I213" s="73"/>
    </row>
    <row r="214" spans="2:12" ht="18.75" x14ac:dyDescent="0.3">
      <c r="D214" s="65"/>
    </row>
    <row r="216" spans="2:12" ht="32.25" x14ac:dyDescent="0.25">
      <c r="B216" s="18" t="s">
        <v>0</v>
      </c>
      <c r="C216" s="18"/>
      <c r="D216" s="18"/>
      <c r="E216" s="18"/>
      <c r="F216" s="18"/>
      <c r="G216" s="18"/>
      <c r="H216" s="18"/>
      <c r="I216" s="18"/>
      <c r="J216" s="142"/>
      <c r="K216" s="142"/>
      <c r="L216" s="142"/>
    </row>
    <row r="217" spans="2:12" ht="39" x14ac:dyDescent="0.25">
      <c r="B217" s="18"/>
      <c r="C217" s="18"/>
      <c r="D217" s="18"/>
      <c r="E217" s="18"/>
      <c r="F217" s="18"/>
      <c r="G217" s="18"/>
      <c r="H217" s="18"/>
      <c r="I217" s="18"/>
      <c r="J217" s="161"/>
      <c r="K217" s="161"/>
      <c r="L217" s="161"/>
    </row>
    <row r="218" spans="2:12" x14ac:dyDescent="0.25">
      <c r="B218" s="143" t="s">
        <v>54</v>
      </c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</row>
    <row r="219" spans="2:12" x14ac:dyDescent="0.25">
      <c r="B219" s="143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</row>
    <row r="220" spans="2:12" ht="34.5" customHeight="1" x14ac:dyDescent="0.25">
      <c r="B220" s="143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</row>
    <row r="221" spans="2:12" ht="19.5" x14ac:dyDescent="0.3">
      <c r="B221" s="181" t="s">
        <v>59</v>
      </c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</row>
    <row r="239" spans="2:10" ht="46.5" x14ac:dyDescent="0.7">
      <c r="C239" s="68" t="s">
        <v>60</v>
      </c>
      <c r="D239" s="68"/>
      <c r="E239" s="68"/>
      <c r="F239" s="68"/>
      <c r="G239" s="68"/>
      <c r="H239" s="68"/>
      <c r="I239" s="68"/>
    </row>
    <row r="240" spans="2:10" ht="46.5" x14ac:dyDescent="0.7">
      <c r="B240" s="68">
        <v>4</v>
      </c>
      <c r="C240" s="68" t="s">
        <v>61</v>
      </c>
      <c r="D240" s="68"/>
      <c r="E240" s="68"/>
      <c r="F240" s="68"/>
      <c r="G240" s="68"/>
      <c r="H240" s="68"/>
      <c r="I240" s="68"/>
      <c r="J240" s="68"/>
    </row>
    <row r="241" spans="2:10" ht="46.5" x14ac:dyDescent="0.7">
      <c r="B241" s="68">
        <v>4</v>
      </c>
      <c r="C241" s="68" t="s">
        <v>62</v>
      </c>
      <c r="D241" s="68"/>
      <c r="E241" s="68"/>
      <c r="F241" s="68"/>
      <c r="G241" s="68"/>
    </row>
    <row r="242" spans="2:10" ht="46.5" x14ac:dyDescent="0.7">
      <c r="B242" s="68">
        <v>4</v>
      </c>
      <c r="C242" s="68" t="s">
        <v>63</v>
      </c>
      <c r="D242" s="68"/>
      <c r="E242" s="68"/>
      <c r="F242" s="68"/>
      <c r="G242" s="68"/>
      <c r="H242" s="68"/>
      <c r="I242" s="68"/>
      <c r="J242" s="68"/>
    </row>
    <row r="243" spans="2:10" ht="46.5" x14ac:dyDescent="0.7">
      <c r="B243" s="68">
        <v>1</v>
      </c>
      <c r="C243" s="68" t="s">
        <v>64</v>
      </c>
      <c r="D243" s="68"/>
      <c r="E243" s="68"/>
    </row>
  </sheetData>
  <mergeCells count="197">
    <mergeCell ref="B143:K143"/>
    <mergeCell ref="G144:K144"/>
    <mergeCell ref="B175:C175"/>
    <mergeCell ref="B141:C141"/>
    <mergeCell ref="B170:C170"/>
    <mergeCell ref="D170:D171"/>
    <mergeCell ref="E170:E171"/>
    <mergeCell ref="F171:L171"/>
    <mergeCell ref="K132:L132"/>
    <mergeCell ref="H140:K140"/>
    <mergeCell ref="B140:C140"/>
    <mergeCell ref="F137:F138"/>
    <mergeCell ref="E137:E138"/>
    <mergeCell ref="J8:K8"/>
    <mergeCell ref="G17:H17"/>
    <mergeCell ref="I17:L17"/>
    <mergeCell ref="G18:H18"/>
    <mergeCell ref="J18:K18"/>
    <mergeCell ref="G14:H14"/>
    <mergeCell ref="J14:K14"/>
    <mergeCell ref="G15:H15"/>
    <mergeCell ref="J15:K15"/>
    <mergeCell ref="G9:H9"/>
    <mergeCell ref="J9:K9"/>
    <mergeCell ref="C8:D8"/>
    <mergeCell ref="A8:A9"/>
    <mergeCell ref="C15:D15"/>
    <mergeCell ref="C9:D9"/>
    <mergeCell ref="B17:D17"/>
    <mergeCell ref="C18:D18"/>
    <mergeCell ref="C19:D19"/>
    <mergeCell ref="C13:D13"/>
    <mergeCell ref="G8:H8"/>
    <mergeCell ref="G19:H19"/>
    <mergeCell ref="A52:A56"/>
    <mergeCell ref="C55:D56"/>
    <mergeCell ref="C52:D53"/>
    <mergeCell ref="I56:L56"/>
    <mergeCell ref="G136:L136"/>
    <mergeCell ref="B89:L89"/>
    <mergeCell ref="D87:D88"/>
    <mergeCell ref="E87:E88"/>
    <mergeCell ref="B135:L135"/>
    <mergeCell ref="F134:L134"/>
    <mergeCell ref="I53:L53"/>
    <mergeCell ref="B52:B53"/>
    <mergeCell ref="B96:C96"/>
    <mergeCell ref="C136:D136"/>
    <mergeCell ref="B111:C111"/>
    <mergeCell ref="A91:A93"/>
    <mergeCell ref="J131:L131"/>
    <mergeCell ref="D133:D134"/>
    <mergeCell ref="B120:I120"/>
    <mergeCell ref="B55:B56"/>
    <mergeCell ref="B58:K58"/>
    <mergeCell ref="G59:K59"/>
    <mergeCell ref="B102:K102"/>
    <mergeCell ref="G103:K103"/>
    <mergeCell ref="D46:D47"/>
    <mergeCell ref="E46:E47"/>
    <mergeCell ref="B94:C94"/>
    <mergeCell ref="H94:K94"/>
    <mergeCell ref="K43:L43"/>
    <mergeCell ref="K44:L44"/>
    <mergeCell ref="B87:C87"/>
    <mergeCell ref="F88:L88"/>
    <mergeCell ref="G45:H45"/>
    <mergeCell ref="K45:L45"/>
    <mergeCell ref="B46:C46"/>
    <mergeCell ref="I64:K64"/>
    <mergeCell ref="J85:L85"/>
    <mergeCell ref="I55:L55"/>
    <mergeCell ref="I92:L92"/>
    <mergeCell ref="I93:L93"/>
    <mergeCell ref="G51:L51"/>
    <mergeCell ref="I52:L52"/>
    <mergeCell ref="C90:D90"/>
    <mergeCell ref="E52:E53"/>
    <mergeCell ref="F52:F53"/>
    <mergeCell ref="E55:E56"/>
    <mergeCell ref="F55:F56"/>
    <mergeCell ref="F91:F93"/>
    <mergeCell ref="H176:K176"/>
    <mergeCell ref="I174:L174"/>
    <mergeCell ref="B95:C95"/>
    <mergeCell ref="J84:L84"/>
    <mergeCell ref="F47:L47"/>
    <mergeCell ref="B49:L49"/>
    <mergeCell ref="C51:D51"/>
    <mergeCell ref="K1:L1"/>
    <mergeCell ref="G3:H3"/>
    <mergeCell ref="B6:L6"/>
    <mergeCell ref="C7:D7"/>
    <mergeCell ref="I2:L2"/>
    <mergeCell ref="K3:L3"/>
    <mergeCell ref="B4:C4"/>
    <mergeCell ref="F5:L5"/>
    <mergeCell ref="G7:H7"/>
    <mergeCell ref="I7:L7"/>
    <mergeCell ref="F31:H31"/>
    <mergeCell ref="I31:K31"/>
    <mergeCell ref="B32:B34"/>
    <mergeCell ref="C32:C34"/>
    <mergeCell ref="D32:D34"/>
    <mergeCell ref="F32:H32"/>
    <mergeCell ref="I32:K32"/>
    <mergeCell ref="G179:K179"/>
    <mergeCell ref="G173:L173"/>
    <mergeCell ref="B176:C176"/>
    <mergeCell ref="B172:L172"/>
    <mergeCell ref="C173:D173"/>
    <mergeCell ref="C174:D174"/>
    <mergeCell ref="K183:L185"/>
    <mergeCell ref="B221:L221"/>
    <mergeCell ref="F37:H37"/>
    <mergeCell ref="I37:K37"/>
    <mergeCell ref="B38:B40"/>
    <mergeCell ref="C38:C40"/>
    <mergeCell ref="D38:D40"/>
    <mergeCell ref="F38:H38"/>
    <mergeCell ref="I38:K38"/>
    <mergeCell ref="F39:H39"/>
    <mergeCell ref="I39:K39"/>
    <mergeCell ref="F40:H40"/>
    <mergeCell ref="I40:K40"/>
    <mergeCell ref="B43:J44"/>
    <mergeCell ref="J167:L167"/>
    <mergeCell ref="J168:L168"/>
    <mergeCell ref="G169:H169"/>
    <mergeCell ref="K169:L169"/>
    <mergeCell ref="G90:L90"/>
    <mergeCell ref="G91:H91"/>
    <mergeCell ref="G92:H92"/>
    <mergeCell ref="G93:H93"/>
    <mergeCell ref="I91:L91"/>
    <mergeCell ref="B78:I78"/>
    <mergeCell ref="D79:E79"/>
    <mergeCell ref="C91:D93"/>
    <mergeCell ref="B97:B100"/>
    <mergeCell ref="H95:K95"/>
    <mergeCell ref="H96:K96"/>
    <mergeCell ref="F79:G79"/>
    <mergeCell ref="H79:I79"/>
    <mergeCell ref="G86:H86"/>
    <mergeCell ref="E91:E93"/>
    <mergeCell ref="D121:E121"/>
    <mergeCell ref="F121:G121"/>
    <mergeCell ref="H121:I121"/>
    <mergeCell ref="B91:B93"/>
    <mergeCell ref="H97:K100"/>
    <mergeCell ref="H105:K105"/>
    <mergeCell ref="J130:L130"/>
    <mergeCell ref="B218:L220"/>
    <mergeCell ref="E133:E134"/>
    <mergeCell ref="H141:K141"/>
    <mergeCell ref="J216:L216"/>
    <mergeCell ref="J217:L217"/>
    <mergeCell ref="B211:I211"/>
    <mergeCell ref="D212:E212"/>
    <mergeCell ref="F212:G212"/>
    <mergeCell ref="H212:I212"/>
    <mergeCell ref="G174:H174"/>
    <mergeCell ref="B161:I161"/>
    <mergeCell ref="D162:E162"/>
    <mergeCell ref="F162:G162"/>
    <mergeCell ref="H162:I162"/>
    <mergeCell ref="H175:K175"/>
    <mergeCell ref="B178:K178"/>
    <mergeCell ref="A137:A138"/>
    <mergeCell ref="B137:B138"/>
    <mergeCell ref="C137:D138"/>
    <mergeCell ref="I137:L137"/>
    <mergeCell ref="G137:H137"/>
    <mergeCell ref="G138:H138"/>
    <mergeCell ref="I138:L138"/>
    <mergeCell ref="B133:C133"/>
    <mergeCell ref="G132:H132"/>
    <mergeCell ref="G10:H10"/>
    <mergeCell ref="J10:K10"/>
    <mergeCell ref="G11:H11"/>
    <mergeCell ref="J11:K11"/>
    <mergeCell ref="G12:H12"/>
    <mergeCell ref="J12:K12"/>
    <mergeCell ref="G13:H13"/>
    <mergeCell ref="J13:K13"/>
    <mergeCell ref="K86:L86"/>
    <mergeCell ref="F65:H65"/>
    <mergeCell ref="I65:K65"/>
    <mergeCell ref="F66:H66"/>
    <mergeCell ref="I66:K66"/>
    <mergeCell ref="F33:H33"/>
    <mergeCell ref="I33:K33"/>
    <mergeCell ref="F34:H34"/>
    <mergeCell ref="I34:K34"/>
    <mergeCell ref="J20:L22"/>
    <mergeCell ref="G22:I22"/>
    <mergeCell ref="J19:K19"/>
  </mergeCells>
  <phoneticPr fontId="17" type="noConversion"/>
  <pageMargins left="0.11811023622047245" right="0.11811023622047245" top="0.19685039370078741" bottom="0.19685039370078741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Computador 05</dc:creator>
  <cp:lastModifiedBy>facilitador</cp:lastModifiedBy>
  <cp:lastPrinted>2026-05-15T17:45:36Z</cp:lastPrinted>
  <dcterms:created xsi:type="dcterms:W3CDTF">2020-02-15T11:20:48Z</dcterms:created>
  <dcterms:modified xsi:type="dcterms:W3CDTF">2026-05-29T14:23:10Z</dcterms:modified>
</cp:coreProperties>
</file>